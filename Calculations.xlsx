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ecded0c44668af/Desktop/Niket/FI/Project/"/>
    </mc:Choice>
  </mc:AlternateContent>
  <xr:revisionPtr revIDLastSave="710" documentId="8_{E8E0B7E9-2BDA-457D-98D7-4341590A6169}" xr6:coauthVersionLast="47" xr6:coauthVersionMax="47" xr10:uidLastSave="{60DB6A81-EA22-4311-91B1-A89E20DFF199}"/>
  <bookViews>
    <workbookView xWindow="-108" yWindow="-108" windowWidth="23256" windowHeight="13896" xr2:uid="{70825EF0-B978-4703-AC8D-C1D785AE9E4E}"/>
  </bookViews>
  <sheets>
    <sheet name="YTM" sheetId="2" r:id="rId1"/>
    <sheet name="Bond A&amp;B" sheetId="3" r:id="rId2"/>
    <sheet name="Bond C &amp; D" sheetId="7" r:id="rId3"/>
    <sheet name="Sensitivity analysis" sheetId="8" r:id="rId4"/>
    <sheet name="YTM &amp; Duration" sheetId="9" r:id="rId5"/>
    <sheet name="Tangency of Bond A" sheetId="11" r:id="rId6"/>
    <sheet name="Tangency of Bond B" sheetId="12" r:id="rId7"/>
    <sheet name="Tangency of Bond C" sheetId="13" r:id="rId8"/>
    <sheet name="Tangency of Bond D" sheetId="14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7" l="1"/>
  <c r="J22" i="8"/>
  <c r="J21" i="8"/>
  <c r="J20" i="8"/>
  <c r="J19" i="8"/>
  <c r="J17" i="8"/>
  <c r="J16" i="8"/>
  <c r="J15" i="8"/>
  <c r="J14" i="8"/>
  <c r="J12" i="8"/>
  <c r="J11" i="8"/>
  <c r="J10" i="8"/>
  <c r="J9" i="8"/>
  <c r="J7" i="8"/>
  <c r="J6" i="8"/>
  <c r="J5" i="8"/>
  <c r="J4" i="8"/>
  <c r="N58" i="7"/>
  <c r="N8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7" i="7"/>
  <c r="N6" i="7"/>
  <c r="N5" i="7"/>
  <c r="N4" i="7"/>
  <c r="F15" i="7"/>
  <c r="F14" i="7"/>
  <c r="F13" i="7"/>
  <c r="F12" i="7"/>
  <c r="F11" i="7"/>
  <c r="F10" i="7"/>
  <c r="F9" i="7"/>
  <c r="F8" i="7"/>
  <c r="F16" i="7" s="1"/>
  <c r="D21" i="2" s="1"/>
  <c r="F7" i="7"/>
  <c r="F6" i="7"/>
  <c r="F5" i="7"/>
  <c r="F4" i="7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B29" i="8"/>
  <c r="B28" i="8"/>
  <c r="B27" i="8"/>
  <c r="B26" i="8"/>
  <c r="F29" i="8"/>
  <c r="F28" i="8"/>
  <c r="F27" i="8"/>
  <c r="F26" i="8"/>
  <c r="F22" i="8"/>
  <c r="F21" i="8"/>
  <c r="F20" i="8"/>
  <c r="F19" i="8"/>
  <c r="B22" i="8"/>
  <c r="B21" i="8"/>
  <c r="B20" i="8"/>
  <c r="B19" i="8"/>
  <c r="F15" i="8"/>
  <c r="F14" i="8"/>
  <c r="F13" i="8"/>
  <c r="F12" i="8"/>
  <c r="B15" i="8"/>
  <c r="B14" i="8"/>
  <c r="B13" i="8"/>
  <c r="B12" i="8"/>
  <c r="B7" i="8"/>
  <c r="B6" i="8"/>
  <c r="B5" i="8"/>
  <c r="B4" i="8"/>
  <c r="F7" i="8"/>
  <c r="F6" i="8"/>
  <c r="F5" i="8"/>
  <c r="F4" i="8"/>
  <c r="K60" i="7"/>
  <c r="D20" i="7"/>
  <c r="D19" i="7"/>
  <c r="C24" i="3"/>
  <c r="M9" i="7"/>
  <c r="M55" i="7"/>
  <c r="L55" i="7"/>
  <c r="K55" i="7"/>
  <c r="M54" i="7"/>
  <c r="L54" i="7"/>
  <c r="K54" i="7"/>
  <c r="M53" i="7"/>
  <c r="L53" i="7"/>
  <c r="K53" i="7"/>
  <c r="M52" i="7"/>
  <c r="L52" i="7"/>
  <c r="K52" i="7"/>
  <c r="M51" i="7"/>
  <c r="L51" i="7"/>
  <c r="K51" i="7"/>
  <c r="M50" i="7"/>
  <c r="L50" i="7"/>
  <c r="K50" i="7"/>
  <c r="M49" i="7"/>
  <c r="L49" i="7"/>
  <c r="K49" i="7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E15" i="7"/>
  <c r="D15" i="7"/>
  <c r="C15" i="7"/>
  <c r="M14" i="7"/>
  <c r="L14" i="7"/>
  <c r="K14" i="7"/>
  <c r="E14" i="7"/>
  <c r="D14" i="7"/>
  <c r="C14" i="7"/>
  <c r="M13" i="7"/>
  <c r="L13" i="7"/>
  <c r="K13" i="7"/>
  <c r="E13" i="7"/>
  <c r="D13" i="7"/>
  <c r="C13" i="7"/>
  <c r="M12" i="7"/>
  <c r="L12" i="7"/>
  <c r="K12" i="7"/>
  <c r="E12" i="7"/>
  <c r="D12" i="7"/>
  <c r="C12" i="7"/>
  <c r="M11" i="7"/>
  <c r="L11" i="7"/>
  <c r="K11" i="7"/>
  <c r="E11" i="7"/>
  <c r="D11" i="7"/>
  <c r="C11" i="7"/>
  <c r="M10" i="7"/>
  <c r="L10" i="7"/>
  <c r="K10" i="7"/>
  <c r="E10" i="7"/>
  <c r="D10" i="7"/>
  <c r="C10" i="7"/>
  <c r="L9" i="7"/>
  <c r="K9" i="7"/>
  <c r="E9" i="7"/>
  <c r="D9" i="7"/>
  <c r="C9" i="7"/>
  <c r="M8" i="7"/>
  <c r="L8" i="7"/>
  <c r="K8" i="7"/>
  <c r="E8" i="7"/>
  <c r="D8" i="7"/>
  <c r="C8" i="7"/>
  <c r="M7" i="7"/>
  <c r="L7" i="7"/>
  <c r="K7" i="7"/>
  <c r="E7" i="7"/>
  <c r="D7" i="7"/>
  <c r="C7" i="7"/>
  <c r="M6" i="7"/>
  <c r="L6" i="7"/>
  <c r="K6" i="7"/>
  <c r="E6" i="7"/>
  <c r="D6" i="7"/>
  <c r="C6" i="7"/>
  <c r="M5" i="7"/>
  <c r="L5" i="7"/>
  <c r="K5" i="7"/>
  <c r="E5" i="7"/>
  <c r="D5" i="7"/>
  <c r="C5" i="7"/>
  <c r="M4" i="7"/>
  <c r="M56" i="7" s="1"/>
  <c r="K59" i="7" s="1"/>
  <c r="L4" i="7"/>
  <c r="K4" i="7"/>
  <c r="E4" i="7"/>
  <c r="E16" i="7" s="1"/>
  <c r="D4" i="7"/>
  <c r="C4" i="7"/>
  <c r="D24" i="3"/>
  <c r="E13" i="2"/>
  <c r="D13" i="2"/>
  <c r="B13" i="2"/>
  <c r="C13" i="2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D6" i="3"/>
  <c r="E6" i="3" s="1"/>
  <c r="D5" i="3"/>
  <c r="E5" i="3" s="1"/>
  <c r="C7" i="3"/>
  <c r="C6" i="3"/>
  <c r="C5" i="3"/>
  <c r="E10" i="3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D9" i="3"/>
  <c r="E9" i="3" s="1"/>
  <c r="D8" i="3"/>
  <c r="E8" i="3" s="1"/>
  <c r="D7" i="3"/>
  <c r="E7" i="3" s="1"/>
  <c r="C10" i="3"/>
  <c r="C9" i="3"/>
  <c r="C8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J6" i="2"/>
  <c r="I6" i="2"/>
  <c r="H6" i="2"/>
  <c r="G6" i="2"/>
  <c r="E12" i="2"/>
  <c r="D12" i="2"/>
  <c r="C12" i="2"/>
  <c r="B12" i="2"/>
  <c r="D15" i="2" l="1"/>
  <c r="I15" i="2" s="1"/>
  <c r="E15" i="2"/>
  <c r="J15" i="2" s="1"/>
  <c r="F25" i="3"/>
  <c r="F27" i="3"/>
  <c r="B21" i="2" s="1"/>
  <c r="C15" i="2"/>
  <c r="H15" i="2" s="1"/>
  <c r="B15" i="2"/>
  <c r="B19" i="2" s="1"/>
  <c r="N56" i="7"/>
  <c r="E21" i="2" s="1"/>
  <c r="N25" i="3"/>
  <c r="N27" i="3" s="1"/>
  <c r="C21" i="2" s="1"/>
  <c r="M25" i="3"/>
  <c r="K27" i="3" s="1"/>
  <c r="K28" i="3" s="1"/>
  <c r="E24" i="3"/>
  <c r="E25" i="3" s="1"/>
  <c r="C27" i="3" l="1"/>
  <c r="C28" i="3" s="1"/>
  <c r="C19" i="2"/>
  <c r="G15" i="2"/>
  <c r="D19" i="2"/>
  <c r="E19" i="2"/>
</calcChain>
</file>

<file path=xl/sharedStrings.xml><?xml version="1.0" encoding="utf-8"?>
<sst xmlns="http://schemas.openxmlformats.org/spreadsheetml/2006/main" count="154" uniqueCount="64">
  <si>
    <t>Coupon Rate (%)</t>
  </si>
  <si>
    <t>Current Price ($)</t>
  </si>
  <si>
    <t>Maturity Year</t>
  </si>
  <si>
    <t>Bond A</t>
  </si>
  <si>
    <t>Bond B</t>
  </si>
  <si>
    <t>Bond C</t>
  </si>
  <si>
    <t>Bond D</t>
  </si>
  <si>
    <t>Metric</t>
  </si>
  <si>
    <t>YTM</t>
  </si>
  <si>
    <t>Macaulay Duration</t>
  </si>
  <si>
    <t>Modified Duration</t>
  </si>
  <si>
    <t>Number_of_Periods</t>
  </si>
  <si>
    <t>Coupon_Payment</t>
  </si>
  <si>
    <t>Price</t>
  </si>
  <si>
    <t>Face_Value</t>
  </si>
  <si>
    <t>Bond Name</t>
  </si>
  <si>
    <t>Convexity</t>
  </si>
  <si>
    <t>Cf</t>
  </si>
  <si>
    <t>N</t>
  </si>
  <si>
    <t>1/(1.027)t</t>
  </si>
  <si>
    <t>CF/(1.027)t</t>
  </si>
  <si>
    <t>CF*t / (1.027)t</t>
  </si>
  <si>
    <t>1/(1.025)t</t>
  </si>
  <si>
    <t>CF/(1.025)t</t>
  </si>
  <si>
    <t>CF*t / (1.025)t</t>
  </si>
  <si>
    <t>1/(1.01725)t</t>
  </si>
  <si>
    <t>CF/(1.01725)t</t>
  </si>
  <si>
    <t>CF*t / (1.01725)t</t>
  </si>
  <si>
    <t>1/(1.021)t</t>
  </si>
  <si>
    <t>CF/(1.021)t</t>
  </si>
  <si>
    <t>CF*t / (1.021)t</t>
  </si>
  <si>
    <t>price</t>
  </si>
  <si>
    <t>Current Price</t>
  </si>
  <si>
    <t>Macaulay dur</t>
  </si>
  <si>
    <t>Current price</t>
  </si>
  <si>
    <t>Yield to next call</t>
  </si>
  <si>
    <t xml:space="preserve">YTC = </t>
  </si>
  <si>
    <t>Coupon pmt + (Call Price - Current Price)/Years to Call</t>
  </si>
  <si>
    <t>(Call Price + Current Price) / 2</t>
  </si>
  <si>
    <t>YTC</t>
  </si>
  <si>
    <t>Bond</t>
  </si>
  <si>
    <t>Coupon pmt</t>
  </si>
  <si>
    <t>Coupon rate</t>
  </si>
  <si>
    <t>FV</t>
  </si>
  <si>
    <t>maturity</t>
  </si>
  <si>
    <t>Ytm(annually)</t>
  </si>
  <si>
    <t>Ytm(semi-annually)</t>
  </si>
  <si>
    <t>Non Callable</t>
  </si>
  <si>
    <t>Sensitivity Analysis</t>
  </si>
  <si>
    <t>Bond A (Current YTM: 5.26%, Modified Duration: 7.57, Current Price: 101.43)</t>
  </si>
  <si>
    <t>Yield (%)</t>
  </si>
  <si>
    <t>Price (Convex Curve)</t>
  </si>
  <si>
    <t>ΔYield (%)</t>
  </si>
  <si>
    <t>Tangency Line</t>
  </si>
  <si>
    <t>Bond Price = C * (1 - (1 + r)^-n) / r) + (FV / (1 + r)^n)</t>
  </si>
  <si>
    <t>Calculate ΔYield for all rows</t>
  </si>
  <si>
    <t>For each bond, we'll subtract the bond's current YTM from the "Yield (%)" in each row.</t>
  </si>
  <si>
    <t xml:space="preserve"> Calculate P' for all rows</t>
  </si>
  <si>
    <r>
      <t xml:space="preserve">For each bond, we'll use the formula </t>
    </r>
    <r>
      <rPr>
        <sz val="10"/>
        <color theme="1"/>
        <rFont val="Arial Unicode MS"/>
      </rPr>
      <t>P' = (1 - ΔYield * Modified Duration) * Price</t>
    </r>
    <r>
      <rPr>
        <sz val="11"/>
        <color theme="1"/>
        <rFont val="Calibri"/>
        <family val="2"/>
        <scheme val="minor"/>
      </rPr>
      <t xml:space="preserve"> with the newly calculated "ΔYield (%)" and the bond's modified duration and current price.</t>
    </r>
  </si>
  <si>
    <t>Bond B (Current YTM: 4.90%, Modified Duration: 7.87, Current Price: 100.78)</t>
  </si>
  <si>
    <t>Bond C (Current YTM: 4.49%, Modified Duration: 5.66, Current Price: 94.58)</t>
  </si>
  <si>
    <t>Bond D (Current YTM: 5.59%, Modified Duration: 18.33, Current Price: 85.40)</t>
  </si>
  <si>
    <t>COCA COLA</t>
  </si>
  <si>
    <t>Fixed Income 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</si>
</sst>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%"/>
    <numFmt numFmtId="167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2" fontId="0" fillId="0" borderId="0" xfId="0" applyNumberFormat="1"/>
    <xf numFmtId="0" fontId="1" fillId="2" borderId="1" xfId="0" applyFont="1" applyFill="1" applyBorder="1"/>
    <xf numFmtId="2" fontId="1" fillId="2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/>
    <xf numFmtId="10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1" fillId="2" borderId="0" xfId="0" applyFont="1" applyFill="1"/>
    <xf numFmtId="9" fontId="0" fillId="0" borderId="0" xfId="0" applyNumberFormat="1"/>
    <xf numFmtId="167" fontId="0" fillId="0" borderId="0" xfId="0" applyNumberFormat="1"/>
    <xf numFmtId="167" fontId="0" fillId="0" borderId="0" xfId="1" applyNumberFormat="1" applyFont="1"/>
    <xf numFmtId="2" fontId="0" fillId="0" borderId="0" xfId="1" applyNumberFormat="1" applyFont="1"/>
    <xf numFmtId="0" fontId="1" fillId="0" borderId="0" xfId="0" applyFon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Yield and Maturity Duration Relationship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'YTM &amp; Duration'!$B$2</c:f>
              <c:strCache>
                <c:ptCount val="1"/>
                <c:pt idx="0">
                  <c:v>YTM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[1]Sheet1!$B$1:$E$1</c15:sqref>
                  </c15:fullRef>
                </c:ext>
              </c:extLst>
              <c:f>[1]Sheet1!$B$1:$E$1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'YTM &amp; Duration'!$B$3:$B$7</c15:sqref>
                  </c15:fullRef>
                </c:ext>
              </c:extLst>
              <c:f>'YTM &amp; Duration'!$B$3:$B$6</c:f>
              <c:numCache>
                <c:formatCode>0.00</c:formatCode>
                <c:ptCount val="4"/>
                <c:pt idx="0">
                  <c:v>5.2949999999999999</c:v>
                </c:pt>
                <c:pt idx="1">
                  <c:v>4.9059999999999997</c:v>
                </c:pt>
                <c:pt idx="2">
                  <c:v>4.49</c:v>
                </c:pt>
                <c:pt idx="3">
                  <c:v>5.234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2-4306-85A1-400E57F7A323}"/>
            </c:ext>
          </c:extLst>
        </c:ser>
        <c:ser>
          <c:idx val="1"/>
          <c:order val="1"/>
          <c:tx>
            <c:strRef>
              <c:f>'YTM &amp; Duration'!$C$2</c:f>
              <c:strCache>
                <c:ptCount val="1"/>
                <c:pt idx="0">
                  <c:v>Modified 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[1]Sheet1!$B$1:$E$1</c15:sqref>
                  </c15:fullRef>
                </c:ext>
              </c:extLst>
              <c:f>[1]Sheet1!$B$1:$E$1</c:f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'YTM &amp; Duration'!$C$3:$C$6</c15:sqref>
                  </c15:fullRef>
                </c:ext>
              </c:extLst>
              <c:f>'YTM &amp; Duration'!$C$3:$C$6</c:f>
              <c:numCache>
                <c:formatCode>0.00</c:formatCode>
                <c:ptCount val="4"/>
                <c:pt idx="0">
                  <c:v>7.5665303601365599</c:v>
                </c:pt>
                <c:pt idx="1">
                  <c:v>7.8660989050084966</c:v>
                </c:pt>
                <c:pt idx="2">
                  <c:v>5.6573500156505272</c:v>
                </c:pt>
                <c:pt idx="3">
                  <c:v>18.325832366149811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2-4306-85A1-400E57F7A3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16355232"/>
        <c:axId val="1112238672"/>
      </c:barChart>
      <c:catAx>
        <c:axId val="111635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238672"/>
        <c:crosses val="autoZero"/>
        <c:auto val="1"/>
        <c:lblAlgn val="ctr"/>
        <c:lblOffset val="100"/>
        <c:noMultiLvlLbl val="0"/>
      </c:catAx>
      <c:valAx>
        <c:axId val="1112238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3552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214774240"/>
        <c:axId val="1214771840"/>
      </c:scatterChart>
      <c:valAx>
        <c:axId val="121477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71840"/>
        <c:crosses val="autoZero"/>
        <c:crossBetween val="midCat"/>
      </c:valAx>
      <c:valAx>
        <c:axId val="121477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Yield Curve with Tangency line</a:t>
            </a:r>
            <a:b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Bond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'Tangency of Bond A'!$B$3</c:f>
              <c:strCache>
                <c:ptCount val="1"/>
                <c:pt idx="0">
                  <c:v>Price (Convex Curve)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A'!$A$4:$A$23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A'!$B$4:$B$23</c:f>
              <c:numCache>
                <c:formatCode>General</c:formatCode>
                <c:ptCount val="20"/>
                <c:pt idx="0">
                  <c:v>141.27000000000001</c:v>
                </c:pt>
                <c:pt idx="1">
                  <c:v>128.38999999999999</c:v>
                </c:pt>
                <c:pt idx="2">
                  <c:v>117.17</c:v>
                </c:pt>
                <c:pt idx="3">
                  <c:v>107.38</c:v>
                </c:pt>
                <c:pt idx="4">
                  <c:v>98.81</c:v>
                </c:pt>
                <c:pt idx="5">
                  <c:v>91.32</c:v>
                </c:pt>
                <c:pt idx="6">
                  <c:v>84.77</c:v>
                </c:pt>
                <c:pt idx="7">
                  <c:v>78.989999999999995</c:v>
                </c:pt>
                <c:pt idx="8">
                  <c:v>73.88</c:v>
                </c:pt>
                <c:pt idx="9">
                  <c:v>69.349999999999994</c:v>
                </c:pt>
                <c:pt idx="10">
                  <c:v>65.31</c:v>
                </c:pt>
                <c:pt idx="11">
                  <c:v>61.7</c:v>
                </c:pt>
                <c:pt idx="12">
                  <c:v>58.45</c:v>
                </c:pt>
                <c:pt idx="13">
                  <c:v>55.51</c:v>
                </c:pt>
                <c:pt idx="14">
                  <c:v>52.84</c:v>
                </c:pt>
                <c:pt idx="15">
                  <c:v>50.41</c:v>
                </c:pt>
                <c:pt idx="16">
                  <c:v>48.19</c:v>
                </c:pt>
                <c:pt idx="17">
                  <c:v>46.15</c:v>
                </c:pt>
                <c:pt idx="18">
                  <c:v>44.27</c:v>
                </c:pt>
                <c:pt idx="19">
                  <c:v>42.54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42-4E5B-A278-8964628936CD}"/>
            </c:ext>
          </c:extLst>
        </c:ser>
        <c:ser>
          <c:idx val="2"/>
          <c:order val="2"/>
          <c:tx>
            <c:strRef>
              <c:f>'Tangency of Bond A'!$D$3</c:f>
              <c:strCache>
                <c:ptCount val="1"/>
                <c:pt idx="0">
                  <c:v>Tangency Line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A'!$A$4:$A$23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A'!$D$4:$D$23</c:f>
              <c:numCache>
                <c:formatCode>General</c:formatCode>
                <c:ptCount val="20"/>
                <c:pt idx="0">
                  <c:v>132.99</c:v>
                </c:pt>
                <c:pt idx="1">
                  <c:v>125.42</c:v>
                </c:pt>
                <c:pt idx="2">
                  <c:v>117.85</c:v>
                </c:pt>
                <c:pt idx="3">
                  <c:v>110.28</c:v>
                </c:pt>
                <c:pt idx="4">
                  <c:v>102.71</c:v>
                </c:pt>
                <c:pt idx="5">
                  <c:v>95.14</c:v>
                </c:pt>
                <c:pt idx="6">
                  <c:v>87.57</c:v>
                </c:pt>
                <c:pt idx="7">
                  <c:v>80</c:v>
                </c:pt>
                <c:pt idx="8">
                  <c:v>72.430000000000007</c:v>
                </c:pt>
                <c:pt idx="9">
                  <c:v>64.86</c:v>
                </c:pt>
                <c:pt idx="10">
                  <c:v>57.29</c:v>
                </c:pt>
                <c:pt idx="11">
                  <c:v>49.72</c:v>
                </c:pt>
                <c:pt idx="12">
                  <c:v>42.15</c:v>
                </c:pt>
                <c:pt idx="13">
                  <c:v>34.58</c:v>
                </c:pt>
                <c:pt idx="14">
                  <c:v>27.01</c:v>
                </c:pt>
                <c:pt idx="15">
                  <c:v>19.440000000000001</c:v>
                </c:pt>
                <c:pt idx="16">
                  <c:v>11.87</c:v>
                </c:pt>
                <c:pt idx="17">
                  <c:v>4.3</c:v>
                </c:pt>
                <c:pt idx="18">
                  <c:v>-3.27</c:v>
                </c:pt>
                <c:pt idx="19">
                  <c:v>-10.84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42-4E5B-A278-896462893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300544"/>
        <c:axId val="131530150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'Tangency of Bond A'!$C$3</c15:sqref>
                        </c15:formulaRef>
                      </c:ext>
                    </c:extLst>
                    <c:strCache>
                      <c:ptCount val="1"/>
                      <c:pt idx="0">
                        <c:v>ΔYield (%)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'Tangency of Bond A'!$A$4:$A$23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'Tangency of Bond A'!$C$4:$C$23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-4.2599999999999999E-2</c:v>
                      </c:pt>
                      <c:pt idx="1">
                        <c:v>-3.2599999999999997E-2</c:v>
                      </c:pt>
                      <c:pt idx="2">
                        <c:v>-2.2599999999999999E-2</c:v>
                      </c:pt>
                      <c:pt idx="3">
                        <c:v>-1.26E-2</c:v>
                      </c:pt>
                      <c:pt idx="4">
                        <c:v>-2.5999999999999999E-3</c:v>
                      </c:pt>
                      <c:pt idx="5">
                        <c:v>7.4000000000000003E-3</c:v>
                      </c:pt>
                      <c:pt idx="6">
                        <c:v>1.7399999999999999E-2</c:v>
                      </c:pt>
                      <c:pt idx="7">
                        <c:v>2.7400000000000001E-2</c:v>
                      </c:pt>
                      <c:pt idx="8">
                        <c:v>3.7400000000000003E-2</c:v>
                      </c:pt>
                      <c:pt idx="9">
                        <c:v>4.7399999999999998E-2</c:v>
                      </c:pt>
                      <c:pt idx="10">
                        <c:v>5.74E-2</c:v>
                      </c:pt>
                      <c:pt idx="11">
                        <c:v>6.7400000000000002E-2</c:v>
                      </c:pt>
                      <c:pt idx="12">
                        <c:v>7.7399999999999997E-2</c:v>
                      </c:pt>
                      <c:pt idx="13">
                        <c:v>8.7400000000000005E-2</c:v>
                      </c:pt>
                      <c:pt idx="14">
                        <c:v>9.74E-2</c:v>
                      </c:pt>
                      <c:pt idx="15">
                        <c:v>0.1074</c:v>
                      </c:pt>
                      <c:pt idx="16">
                        <c:v>0.1174</c:v>
                      </c:pt>
                      <c:pt idx="17">
                        <c:v>0.12740000000000001</c:v>
                      </c:pt>
                      <c:pt idx="18">
                        <c:v>0.13739999999999999</c:v>
                      </c:pt>
                      <c:pt idx="19">
                        <c:v>0.1474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042-4E5B-A278-8964628936CD}"/>
                  </c:ext>
                </c:extLst>
              </c15:ser>
            </c15:filteredScatterSeries>
          </c:ext>
        </c:extLst>
      </c:scatterChart>
      <c:valAx>
        <c:axId val="131530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01504"/>
        <c:crosses val="autoZero"/>
        <c:crossBetween val="midCat"/>
      </c:valAx>
      <c:valAx>
        <c:axId val="13153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00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Yield Curve with Tangency line</a:t>
            </a:r>
            <a:b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Bond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'Tangency of Bond B'!$B$3</c:f>
              <c:strCache>
                <c:ptCount val="1"/>
                <c:pt idx="0">
                  <c:v>Price (Convex Curve)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B'!$A$4:$A$23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B'!$B$4:$B$23</c:f>
              <c:numCache>
                <c:formatCode>General</c:formatCode>
                <c:ptCount val="20"/>
                <c:pt idx="0">
                  <c:v>143.08000000000001</c:v>
                </c:pt>
                <c:pt idx="1">
                  <c:v>129.83000000000001</c:v>
                </c:pt>
                <c:pt idx="2">
                  <c:v>118.16</c:v>
                </c:pt>
                <c:pt idx="3">
                  <c:v>107.84</c:v>
                </c:pt>
                <c:pt idx="4">
                  <c:v>98.71</c:v>
                </c:pt>
                <c:pt idx="5">
                  <c:v>90.63</c:v>
                </c:pt>
                <c:pt idx="6">
                  <c:v>83.46</c:v>
                </c:pt>
                <c:pt idx="7">
                  <c:v>77.069999999999993</c:v>
                </c:pt>
                <c:pt idx="8">
                  <c:v>71.34</c:v>
                </c:pt>
                <c:pt idx="9">
                  <c:v>66.180000000000007</c:v>
                </c:pt>
                <c:pt idx="10">
                  <c:v>61.51</c:v>
                </c:pt>
                <c:pt idx="11">
                  <c:v>57.27</c:v>
                </c:pt>
                <c:pt idx="12">
                  <c:v>53.4</c:v>
                </c:pt>
                <c:pt idx="13">
                  <c:v>49.85</c:v>
                </c:pt>
                <c:pt idx="14">
                  <c:v>46.58</c:v>
                </c:pt>
                <c:pt idx="15">
                  <c:v>43.57</c:v>
                </c:pt>
                <c:pt idx="16">
                  <c:v>40.78</c:v>
                </c:pt>
                <c:pt idx="17">
                  <c:v>38.200000000000003</c:v>
                </c:pt>
                <c:pt idx="18">
                  <c:v>35.81</c:v>
                </c:pt>
                <c:pt idx="19">
                  <c:v>33.590000000000003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EB-4E91-A956-E40031CD715D}"/>
            </c:ext>
          </c:extLst>
        </c:ser>
        <c:ser>
          <c:idx val="2"/>
          <c:order val="2"/>
          <c:tx>
            <c:strRef>
              <c:f>'Tangency of Bond B'!$D$3</c:f>
              <c:strCache>
                <c:ptCount val="1"/>
                <c:pt idx="0">
                  <c:v>Tangency Line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B'!$A$4:$A$23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B'!$D$4:$D$23</c:f>
              <c:numCache>
                <c:formatCode>General</c:formatCode>
                <c:ptCount val="20"/>
                <c:pt idx="0">
                  <c:v>131.83000000000001</c:v>
                </c:pt>
                <c:pt idx="1">
                  <c:v>124.03</c:v>
                </c:pt>
                <c:pt idx="2">
                  <c:v>116.23</c:v>
                </c:pt>
                <c:pt idx="3">
                  <c:v>108.43</c:v>
                </c:pt>
                <c:pt idx="4">
                  <c:v>100.63</c:v>
                </c:pt>
                <c:pt idx="5">
                  <c:v>92.83</c:v>
                </c:pt>
                <c:pt idx="6">
                  <c:v>85.03</c:v>
                </c:pt>
                <c:pt idx="7">
                  <c:v>77.23</c:v>
                </c:pt>
                <c:pt idx="8">
                  <c:v>69.430000000000007</c:v>
                </c:pt>
                <c:pt idx="9">
                  <c:v>61.63</c:v>
                </c:pt>
                <c:pt idx="10">
                  <c:v>53.83</c:v>
                </c:pt>
                <c:pt idx="11">
                  <c:v>46.03</c:v>
                </c:pt>
                <c:pt idx="12">
                  <c:v>38.229999999999997</c:v>
                </c:pt>
                <c:pt idx="13">
                  <c:v>30.43</c:v>
                </c:pt>
                <c:pt idx="14">
                  <c:v>22.63</c:v>
                </c:pt>
                <c:pt idx="15">
                  <c:v>14.83</c:v>
                </c:pt>
                <c:pt idx="16">
                  <c:v>7.03</c:v>
                </c:pt>
                <c:pt idx="17">
                  <c:v>-0.77</c:v>
                </c:pt>
                <c:pt idx="18">
                  <c:v>-8.57</c:v>
                </c:pt>
                <c:pt idx="19">
                  <c:v>-16.37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EB-4E91-A956-E40031CD7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547264"/>
        <c:axId val="18163966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'Tangency of Bond B'!$C$3</c15:sqref>
                        </c15:formulaRef>
                      </c:ext>
                    </c:extLst>
                    <c:strCache>
                      <c:ptCount val="1"/>
                      <c:pt idx="0">
                        <c:v>ΔYield (%)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'Tangency of Bond B'!$A$4:$A$23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'Tangency of Bond B'!$C$4:$C$23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-3.9E-2</c:v>
                      </c:pt>
                      <c:pt idx="1">
                        <c:v>-2.9000000000000001E-2</c:v>
                      </c:pt>
                      <c:pt idx="2">
                        <c:v>-1.9E-2</c:v>
                      </c:pt>
                      <c:pt idx="3">
                        <c:v>-8.9999999999999993E-3</c:v>
                      </c:pt>
                      <c:pt idx="4">
                        <c:v>1E-3</c:v>
                      </c:pt>
                      <c:pt idx="5">
                        <c:v>1.0999999999999999E-2</c:v>
                      </c:pt>
                      <c:pt idx="6">
                        <c:v>2.1000000000000001E-2</c:v>
                      </c:pt>
                      <c:pt idx="7">
                        <c:v>3.1E-2</c:v>
                      </c:pt>
                      <c:pt idx="8">
                        <c:v>4.1000000000000002E-2</c:v>
                      </c:pt>
                      <c:pt idx="9">
                        <c:v>5.0999999999999997E-2</c:v>
                      </c:pt>
                      <c:pt idx="10">
                        <c:v>6.0999999999999999E-2</c:v>
                      </c:pt>
                      <c:pt idx="11">
                        <c:v>7.0999999999999994E-2</c:v>
                      </c:pt>
                      <c:pt idx="12">
                        <c:v>8.1000000000000003E-2</c:v>
                      </c:pt>
                      <c:pt idx="13">
                        <c:v>9.0999999999999998E-2</c:v>
                      </c:pt>
                      <c:pt idx="14">
                        <c:v>0.10100000000000001</c:v>
                      </c:pt>
                      <c:pt idx="15">
                        <c:v>0.111</c:v>
                      </c:pt>
                      <c:pt idx="16">
                        <c:v>0.121</c:v>
                      </c:pt>
                      <c:pt idx="17">
                        <c:v>0.13100000000000001</c:v>
                      </c:pt>
                      <c:pt idx="18">
                        <c:v>0.14099999999999999</c:v>
                      </c:pt>
                      <c:pt idx="19">
                        <c:v>0.151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4EB-4E91-A956-E40031CD715D}"/>
                  </c:ext>
                </c:extLst>
              </c15:ser>
            </c15:filteredScatterSeries>
          </c:ext>
        </c:extLst>
      </c:scatterChart>
      <c:valAx>
        <c:axId val="25454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396672"/>
        <c:crosses val="autoZero"/>
        <c:crossBetween val="midCat"/>
      </c:valAx>
      <c:valAx>
        <c:axId val="18163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4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Yield Curve with Tangency line</a:t>
            </a:r>
            <a:b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Bond C</a:t>
            </a:r>
          </a:p>
        </c:rich>
      </c:tx>
      <c:layout>
        <c:manualLayout>
          <c:xMode val="edge"/>
          <c:yMode val="edge"/>
          <c:x val="0.22878140810210743"/>
          <c:y val="9.661835748792270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'Tangency of Bond C'!$B$3</c:f>
              <c:strCache>
                <c:ptCount val="1"/>
                <c:pt idx="0">
                  <c:v>Price (Convex Curve)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C'!$A$4:$A$23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C'!$B$4:$B$23</c:f>
              <c:numCache>
                <c:formatCode>General</c:formatCode>
                <c:ptCount val="20"/>
                <c:pt idx="0">
                  <c:v>128.61000000000001</c:v>
                </c:pt>
                <c:pt idx="1">
                  <c:v>118.45</c:v>
                </c:pt>
                <c:pt idx="2">
                  <c:v>109.28</c:v>
                </c:pt>
                <c:pt idx="3">
                  <c:v>101</c:v>
                </c:pt>
                <c:pt idx="4">
                  <c:v>93.51</c:v>
                </c:pt>
                <c:pt idx="5">
                  <c:v>86.72</c:v>
                </c:pt>
                <c:pt idx="6">
                  <c:v>80.55</c:v>
                </c:pt>
                <c:pt idx="7">
                  <c:v>74.92</c:v>
                </c:pt>
                <c:pt idx="8">
                  <c:v>69.760000000000005</c:v>
                </c:pt>
                <c:pt idx="9">
                  <c:v>65</c:v>
                </c:pt>
                <c:pt idx="10">
                  <c:v>60.6</c:v>
                </c:pt>
                <c:pt idx="11">
                  <c:v>56.51</c:v>
                </c:pt>
                <c:pt idx="12">
                  <c:v>52.7</c:v>
                </c:pt>
                <c:pt idx="13">
                  <c:v>49.15</c:v>
                </c:pt>
                <c:pt idx="14">
                  <c:v>45.83</c:v>
                </c:pt>
                <c:pt idx="15">
                  <c:v>42.73</c:v>
                </c:pt>
                <c:pt idx="16">
                  <c:v>39.82</c:v>
                </c:pt>
                <c:pt idx="17">
                  <c:v>37.1</c:v>
                </c:pt>
                <c:pt idx="18">
                  <c:v>34.549999999999997</c:v>
                </c:pt>
                <c:pt idx="19">
                  <c:v>32.159999999999997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F1-4B80-A5D8-162E71F56836}"/>
            </c:ext>
          </c:extLst>
        </c:ser>
        <c:ser>
          <c:idx val="2"/>
          <c:order val="2"/>
          <c:tx>
            <c:strRef>
              <c:f>'Tangency of Bond C'!$D$3</c:f>
              <c:strCache>
                <c:ptCount val="1"/>
                <c:pt idx="0">
                  <c:v>Tangency Line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C'!$A$4:$A$23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'Tangency of Bond C'!$D$4:$D$23</c:f>
              <c:numCache>
                <c:formatCode>General</c:formatCode>
                <c:ptCount val="20"/>
                <c:pt idx="0">
                  <c:v>114.98</c:v>
                </c:pt>
                <c:pt idx="1">
                  <c:v>109.32</c:v>
                </c:pt>
                <c:pt idx="2">
                  <c:v>103.66</c:v>
                </c:pt>
                <c:pt idx="3">
                  <c:v>98</c:v>
                </c:pt>
                <c:pt idx="4">
                  <c:v>92.34</c:v>
                </c:pt>
                <c:pt idx="5">
                  <c:v>86.68</c:v>
                </c:pt>
                <c:pt idx="6">
                  <c:v>81.02</c:v>
                </c:pt>
                <c:pt idx="7">
                  <c:v>75.36</c:v>
                </c:pt>
                <c:pt idx="8">
                  <c:v>69.7</c:v>
                </c:pt>
                <c:pt idx="9">
                  <c:v>64.040000000000006</c:v>
                </c:pt>
                <c:pt idx="10">
                  <c:v>58.38</c:v>
                </c:pt>
                <c:pt idx="11">
                  <c:v>52.72</c:v>
                </c:pt>
                <c:pt idx="12">
                  <c:v>47.06</c:v>
                </c:pt>
                <c:pt idx="13">
                  <c:v>41.4</c:v>
                </c:pt>
                <c:pt idx="14">
                  <c:v>35.74</c:v>
                </c:pt>
                <c:pt idx="15">
                  <c:v>30.08</c:v>
                </c:pt>
                <c:pt idx="16">
                  <c:v>24.42</c:v>
                </c:pt>
                <c:pt idx="17">
                  <c:v>18.760000000000002</c:v>
                </c:pt>
                <c:pt idx="18">
                  <c:v>13.1</c:v>
                </c:pt>
                <c:pt idx="19">
                  <c:v>7.44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F1-4B80-A5D8-162E71F5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3405456"/>
        <c:axId val="122340401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'Tangency of Bond C'!$C$3</c15:sqref>
                        </c15:formulaRef>
                      </c:ext>
                    </c:extLst>
                    <c:strCache>
                      <c:ptCount val="1"/>
                      <c:pt idx="0">
                        <c:v>ΔYield (%)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'Tangency of Bond C'!$A$4:$A$23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'Tangency of Bond C'!$C$4:$C$23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-3.49E-2</c:v>
                      </c:pt>
                      <c:pt idx="1">
                        <c:v>-2.4899999999999999E-2</c:v>
                      </c:pt>
                      <c:pt idx="2">
                        <c:v>-1.49E-2</c:v>
                      </c:pt>
                      <c:pt idx="3">
                        <c:v>-4.8999999999999998E-3</c:v>
                      </c:pt>
                      <c:pt idx="4">
                        <c:v>5.1000000000000004E-3</c:v>
                      </c:pt>
                      <c:pt idx="5">
                        <c:v>1.5100000000000001E-2</c:v>
                      </c:pt>
                      <c:pt idx="6">
                        <c:v>2.5100000000000001E-2</c:v>
                      </c:pt>
                      <c:pt idx="7">
                        <c:v>3.5099999999999999E-2</c:v>
                      </c:pt>
                      <c:pt idx="8">
                        <c:v>4.5100000000000001E-2</c:v>
                      </c:pt>
                      <c:pt idx="9">
                        <c:v>5.5100000000000003E-2</c:v>
                      </c:pt>
                      <c:pt idx="10">
                        <c:v>6.5100000000000005E-2</c:v>
                      </c:pt>
                      <c:pt idx="11">
                        <c:v>7.51E-2</c:v>
                      </c:pt>
                      <c:pt idx="12">
                        <c:v>8.5099999999999995E-2</c:v>
                      </c:pt>
                      <c:pt idx="13">
                        <c:v>9.5100000000000004E-2</c:v>
                      </c:pt>
                      <c:pt idx="14">
                        <c:v>0.1051</c:v>
                      </c:pt>
                      <c:pt idx="15">
                        <c:v>0.11509999999999999</c:v>
                      </c:pt>
                      <c:pt idx="16">
                        <c:v>0.12509999999999999</c:v>
                      </c:pt>
                      <c:pt idx="17">
                        <c:v>0.1351</c:v>
                      </c:pt>
                      <c:pt idx="18">
                        <c:v>0.14510000000000001</c:v>
                      </c:pt>
                      <c:pt idx="19">
                        <c:v>0.15509999999999999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9F1-4B80-A5D8-162E71F56836}"/>
                  </c:ext>
                </c:extLst>
              </c15:ser>
            </c15:filteredScatterSeries>
          </c:ext>
        </c:extLst>
      </c:scatterChart>
      <c:valAx>
        <c:axId val="122340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4016"/>
        <c:crosses val="autoZero"/>
        <c:crossBetween val="midCat"/>
      </c:valAx>
      <c:valAx>
        <c:axId val="122340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Yield Curve with Tangency line</a:t>
            </a:r>
            <a:br>
              <a:rPr lang="en-IN" baseline="0"/>
            </a:br>
            <a:r>
              <a:rPr lang="en-IN" baseline="0"/>
              <a:t>Bond 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34756977367361E-2"/>
          <c:y val="0.15492898913951544"/>
          <c:w val="0.86682108944497116"/>
          <c:h val="0.665120478361257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'Tangency of Bond D'!$B$3</c:f>
              <c:strCache>
                <c:ptCount val="1"/>
                <c:pt idx="0">
                  <c:v>Price (Convex Curve)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D'!$A$4:$A$33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'Tangency of Bond D'!$B$4:$B$33</c:f>
              <c:numCache>
                <c:formatCode>General</c:formatCode>
                <c:ptCount val="30"/>
                <c:pt idx="0">
                  <c:v>282.95999999999998</c:v>
                </c:pt>
                <c:pt idx="1">
                  <c:v>239.91</c:v>
                </c:pt>
                <c:pt idx="2">
                  <c:v>204.36</c:v>
                </c:pt>
                <c:pt idx="3">
                  <c:v>174.96</c:v>
                </c:pt>
                <c:pt idx="4">
                  <c:v>150.52000000000001</c:v>
                </c:pt>
                <c:pt idx="5">
                  <c:v>129.99</c:v>
                </c:pt>
                <c:pt idx="6">
                  <c:v>112.55</c:v>
                </c:pt>
                <c:pt idx="7">
                  <c:v>97.63</c:v>
                </c:pt>
                <c:pt idx="8">
                  <c:v>84.79</c:v>
                </c:pt>
                <c:pt idx="9">
                  <c:v>73.680000000000007</c:v>
                </c:pt>
                <c:pt idx="10">
                  <c:v>64.03</c:v>
                </c:pt>
                <c:pt idx="11">
                  <c:v>55.62</c:v>
                </c:pt>
                <c:pt idx="12">
                  <c:v>48.27</c:v>
                </c:pt>
                <c:pt idx="13">
                  <c:v>41.83</c:v>
                </c:pt>
                <c:pt idx="14">
                  <c:v>36.18</c:v>
                </c:pt>
                <c:pt idx="15">
                  <c:v>31.22</c:v>
                </c:pt>
                <c:pt idx="16">
                  <c:v>26.87</c:v>
                </c:pt>
                <c:pt idx="17">
                  <c:v>23.05</c:v>
                </c:pt>
                <c:pt idx="18">
                  <c:v>19.7</c:v>
                </c:pt>
                <c:pt idx="19">
                  <c:v>16.760000000000002</c:v>
                </c:pt>
                <c:pt idx="20">
                  <c:v>14.19</c:v>
                </c:pt>
                <c:pt idx="21">
                  <c:v>11.94</c:v>
                </c:pt>
                <c:pt idx="22">
                  <c:v>10</c:v>
                </c:pt>
                <c:pt idx="23">
                  <c:v>8.31</c:v>
                </c:pt>
                <c:pt idx="24">
                  <c:v>6.85</c:v>
                </c:pt>
                <c:pt idx="25">
                  <c:v>5.59</c:v>
                </c:pt>
                <c:pt idx="26">
                  <c:v>4.51</c:v>
                </c:pt>
                <c:pt idx="27">
                  <c:v>3.58</c:v>
                </c:pt>
                <c:pt idx="28">
                  <c:v>2.79</c:v>
                </c:pt>
                <c:pt idx="29">
                  <c:v>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3-4F6E-9E8F-26CC230F6190}"/>
            </c:ext>
          </c:extLst>
        </c:ser>
        <c:ser>
          <c:idx val="1"/>
          <c:order val="1"/>
          <c:tx>
            <c:strRef>
              <c:f>'Tangency of Bond D'!$D$3</c:f>
              <c:strCache>
                <c:ptCount val="1"/>
                <c:pt idx="0">
                  <c:v>Tangency Line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'Tangency of Bond D'!$A$4:$A$33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'Tangency of Bond D'!$D$4:$D$33</c:f>
              <c:numCache>
                <c:formatCode>General</c:formatCode>
                <c:ptCount val="30"/>
                <c:pt idx="0">
                  <c:v>161.16</c:v>
                </c:pt>
                <c:pt idx="1">
                  <c:v>142.83000000000001</c:v>
                </c:pt>
                <c:pt idx="2">
                  <c:v>124.5</c:v>
                </c:pt>
                <c:pt idx="3">
                  <c:v>106.17</c:v>
                </c:pt>
                <c:pt idx="4">
                  <c:v>87.84</c:v>
                </c:pt>
                <c:pt idx="5">
                  <c:v>69.510000000000005</c:v>
                </c:pt>
                <c:pt idx="6">
                  <c:v>51.18</c:v>
                </c:pt>
                <c:pt idx="7">
                  <c:v>32.85</c:v>
                </c:pt>
                <c:pt idx="8">
                  <c:v>14.52</c:v>
                </c:pt>
                <c:pt idx="9">
                  <c:v>-3.81</c:v>
                </c:pt>
                <c:pt idx="10">
                  <c:v>-22.14</c:v>
                </c:pt>
                <c:pt idx="11">
                  <c:v>-40.47</c:v>
                </c:pt>
                <c:pt idx="12">
                  <c:v>-58.8</c:v>
                </c:pt>
                <c:pt idx="13">
                  <c:v>-77.13</c:v>
                </c:pt>
                <c:pt idx="14">
                  <c:v>-95.46</c:v>
                </c:pt>
                <c:pt idx="15">
                  <c:v>-113.79</c:v>
                </c:pt>
                <c:pt idx="16">
                  <c:v>-132.12</c:v>
                </c:pt>
                <c:pt idx="17">
                  <c:v>-150.44999999999999</c:v>
                </c:pt>
                <c:pt idx="18">
                  <c:v>-168.78</c:v>
                </c:pt>
                <c:pt idx="19">
                  <c:v>-187.11</c:v>
                </c:pt>
                <c:pt idx="20">
                  <c:v>-205.44</c:v>
                </c:pt>
                <c:pt idx="21">
                  <c:v>-223.77</c:v>
                </c:pt>
                <c:pt idx="22">
                  <c:v>-242.1</c:v>
                </c:pt>
                <c:pt idx="23">
                  <c:v>-260.43</c:v>
                </c:pt>
                <c:pt idx="24">
                  <c:v>-278.76</c:v>
                </c:pt>
                <c:pt idx="25">
                  <c:v>-297.08999999999997</c:v>
                </c:pt>
                <c:pt idx="26">
                  <c:v>-315.42</c:v>
                </c:pt>
                <c:pt idx="27">
                  <c:v>-333.75</c:v>
                </c:pt>
                <c:pt idx="28">
                  <c:v>-352.08</c:v>
                </c:pt>
                <c:pt idx="29">
                  <c:v>-370.41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3-4F6E-9E8F-26CC230F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235216"/>
        <c:axId val="1314235696"/>
      </c:scatterChart>
      <c:valAx>
        <c:axId val="13142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35696"/>
        <c:crosses val="autoZero"/>
        <c:crossBetween val="midCat"/>
      </c:valAx>
      <c:valAx>
        <c:axId val="13142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3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198120</xdr:colOff>
      <xdr:row>1</xdr:row>
      <xdr:rowOff>179695</xdr:rowOff>
    </xdr:from>
    <xdr:to>
      <xdr:col>18</xdr:col>
      <xdr:colOff>259080</xdr:colOff>
      <xdr:row>15</xdr:row>
      <xdr:rowOff>88829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839E2F-6C7E-64BF-00B4-35242D6A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3560" y="362575"/>
          <a:ext cx="3718560" cy="2469454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1</xdr:row>
      <xdr:rowOff>22860</xdr:rowOff>
    </xdr:from>
    <xdr:to>
      <xdr:col>18</xdr:col>
      <xdr:colOff>480060</xdr:colOff>
      <xdr:row>22</xdr:row>
      <xdr:rowOff>144780</xdr:rowOff>
    </xdr:to>
    <xdr:graphicFrame macro="">
      <xdr:nvGraphicFramePr>
        <xdr:cNvPr id="3" name="Content Placeholder 3">
          <a:extLst>
            <a:ext uri="{FF2B5EF4-FFF2-40B4-BE49-F238E27FC236}">
              <a16:creationId xmlns:a16="http://schemas.microsoft.com/office/drawing/2014/main" id="{0D924BB9-BF20-D085-4CF6-61483069D4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6</xdr:row>
      <xdr:rowOff>160020</xdr:rowOff>
    </xdr:from>
    <xdr:to>
      <xdr:col>13</xdr:col>
      <xdr:colOff>22860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CE2A6-7BAF-44B1-86F5-ED2C0C7235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8</xdr:row>
      <xdr:rowOff>38100</xdr:rowOff>
    </xdr:from>
    <xdr:to>
      <xdr:col>12</xdr:col>
      <xdr:colOff>381000</xdr:colOff>
      <xdr:row>23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2D7136-E8AE-4F9B-BBEA-602B05179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160020</xdr:rowOff>
    </xdr:from>
    <xdr:to>
      <xdr:col>13</xdr:col>
      <xdr:colOff>91440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2206C-CA32-464C-8464-305157F84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6</xdr:row>
      <xdr:rowOff>160020</xdr:rowOff>
    </xdr:from>
    <xdr:to>
      <xdr:col>15</xdr:col>
      <xdr:colOff>594360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F9B1B2-E6F5-451B-A363-34394A865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8</xdr:row>
      <xdr:rowOff>0</xdr:rowOff>
    </xdr:from>
    <xdr:to>
      <xdr:col>14</xdr:col>
      <xdr:colOff>541020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1391F-FF41-4A91-B717-3477CDFDA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F77D-4C0F-41EC-B2DB-C4D2BA881604}">
  <dimension ref="A1:J28"/>
  <sheetViews>
    <sheetView showGridLines="0" tabSelected="1" topLeftCell="A5" workbookViewId="0">
      <selection activeCell="A25" sqref="A25"/>
    </sheetView>
  </sheetViews>
  <sheetFormatPr defaultRowHeight="14.4"/>
  <cols>
    <col min="1" max="1" width="19.88671875" bestFit="1" customWidth="1"/>
    <col min="2" max="3" width="9.109375" bestFit="1" customWidth="1"/>
    <col min="4" max="4" width="12.44140625" bestFit="1" customWidth="1"/>
    <col min="5" max="5" width="11.5546875" bestFit="1" customWidth="1"/>
  </cols>
  <sheetData>
    <row r="1" spans="1:10" ht="22.2">
      <c r="A1" s="35" t="s">
        <v>62</v>
      </c>
    </row>
    <row r="2" spans="1:10">
      <c r="A2" s="34" t="s">
        <v>63</v>
      </c>
    </row>
    <row r="3" spans="1:10">
      <c r="A3" s="34"/>
    </row>
    <row r="5" spans="1:10">
      <c r="A5" s="1" t="s">
        <v>15</v>
      </c>
      <c r="B5" s="2" t="s">
        <v>3</v>
      </c>
      <c r="C5" s="2" t="s">
        <v>4</v>
      </c>
      <c r="D5" s="2" t="s">
        <v>5</v>
      </c>
      <c r="E5" s="2" t="s">
        <v>6</v>
      </c>
    </row>
    <row r="6" spans="1:10">
      <c r="A6" s="1" t="s">
        <v>0</v>
      </c>
      <c r="B6" s="3">
        <v>5.45</v>
      </c>
      <c r="C6" s="3">
        <v>5</v>
      </c>
      <c r="D6" s="3">
        <v>3.45</v>
      </c>
      <c r="E6" s="3">
        <v>4.2</v>
      </c>
      <c r="G6" s="7">
        <f>B6/2</f>
        <v>2.7250000000000001</v>
      </c>
      <c r="H6">
        <f t="shared" ref="H6:J6" si="0">C6/2</f>
        <v>2.5</v>
      </c>
      <c r="I6" s="7">
        <f t="shared" si="0"/>
        <v>1.7250000000000001</v>
      </c>
      <c r="J6">
        <f t="shared" si="0"/>
        <v>2.1</v>
      </c>
    </row>
    <row r="7" spans="1:10">
      <c r="A7" s="1" t="s">
        <v>1</v>
      </c>
      <c r="B7" s="3">
        <v>101.19</v>
      </c>
      <c r="C7" s="3">
        <v>100.73</v>
      </c>
      <c r="D7" s="3">
        <v>94.58</v>
      </c>
      <c r="E7" s="3">
        <v>85.4</v>
      </c>
    </row>
    <row r="8" spans="1:10">
      <c r="A8" s="1" t="s">
        <v>2</v>
      </c>
      <c r="B8" s="3">
        <v>2034</v>
      </c>
      <c r="C8" s="3">
        <v>2034</v>
      </c>
      <c r="D8" s="3">
        <v>2030</v>
      </c>
      <c r="E8" s="3">
        <v>2050</v>
      </c>
    </row>
    <row r="10" spans="1:10">
      <c r="A10" s="4" t="s">
        <v>7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10">
      <c r="A11" s="5" t="s">
        <v>11</v>
      </c>
      <c r="B11" s="3">
        <v>20</v>
      </c>
      <c r="C11" s="3">
        <v>20</v>
      </c>
      <c r="D11" s="3">
        <v>12</v>
      </c>
      <c r="E11" s="3">
        <v>52</v>
      </c>
    </row>
    <row r="12" spans="1:10">
      <c r="A12" s="5" t="s">
        <v>12</v>
      </c>
      <c r="B12" s="3">
        <f>B6/2</f>
        <v>2.7250000000000001</v>
      </c>
      <c r="C12" s="3">
        <f t="shared" ref="C12:E12" si="1">C6/2</f>
        <v>2.5</v>
      </c>
      <c r="D12" s="3">
        <f t="shared" si="1"/>
        <v>1.7250000000000001</v>
      </c>
      <c r="E12" s="3">
        <f t="shared" si="1"/>
        <v>2.1</v>
      </c>
    </row>
    <row r="13" spans="1:10">
      <c r="A13" s="5" t="s">
        <v>13</v>
      </c>
      <c r="B13" s="3">
        <f t="shared" ref="B13" si="2">B7</f>
        <v>101.19</v>
      </c>
      <c r="C13" s="3">
        <f>C7</f>
        <v>100.73</v>
      </c>
      <c r="D13" s="3">
        <f t="shared" ref="D13:E13" si="3">D7</f>
        <v>94.58</v>
      </c>
      <c r="E13" s="3">
        <f t="shared" si="3"/>
        <v>85.4</v>
      </c>
    </row>
    <row r="14" spans="1:10">
      <c r="A14" s="5" t="s">
        <v>14</v>
      </c>
      <c r="B14" s="3">
        <v>100</v>
      </c>
      <c r="C14" s="3">
        <v>100</v>
      </c>
      <c r="D14" s="3">
        <v>100</v>
      </c>
      <c r="E14" s="3">
        <v>100</v>
      </c>
    </row>
    <row r="15" spans="1:10">
      <c r="A15" s="6" t="s">
        <v>8</v>
      </c>
      <c r="B15" s="11">
        <f>RATE(B11,B12,-B13,B14)*2</f>
        <v>5.2951931846476216E-2</v>
      </c>
      <c r="C15" s="11">
        <f>RATE(C11,C12,-C13,C14)*2</f>
        <v>4.906757144538984E-2</v>
      </c>
      <c r="D15" s="11">
        <f>RATE(D11,D12,-D13,D14)*2</f>
        <v>4.4905280674501648E-2</v>
      </c>
      <c r="E15" s="11">
        <f>RATE(E11,E12,-E13,E14)*2</f>
        <v>5.2340153366873338E-2</v>
      </c>
      <c r="G15" s="12">
        <f>B15/2</f>
        <v>2.6475965923238108E-2</v>
      </c>
      <c r="H15" s="12">
        <f>C15/2</f>
        <v>2.453378572269492E-2</v>
      </c>
      <c r="I15" s="12">
        <f>D15/2</f>
        <v>2.2452640337250824E-2</v>
      </c>
      <c r="J15" s="12">
        <f>E15/2</f>
        <v>2.6170076683436669E-2</v>
      </c>
    </row>
    <row r="17" spans="1:6">
      <c r="A17" s="6" t="s">
        <v>9</v>
      </c>
      <c r="B17" s="10">
        <v>7.766861560108679</v>
      </c>
      <c r="C17" s="10">
        <v>8.0590840900174996</v>
      </c>
      <c r="D17" s="10">
        <v>5.7843724608138691</v>
      </c>
      <c r="E17" s="10">
        <v>18.805420804459757</v>
      </c>
    </row>
    <row r="18" spans="1:6">
      <c r="B18" s="7"/>
      <c r="C18" s="7"/>
      <c r="D18" s="7"/>
      <c r="E18" s="7"/>
    </row>
    <row r="19" spans="1:6">
      <c r="A19" s="8" t="s">
        <v>10</v>
      </c>
      <c r="B19" s="9">
        <f>B17/(1+B15/2)</f>
        <v>7.5665303601365572</v>
      </c>
      <c r="C19" s="9">
        <f>C17/(1+C15/2)</f>
        <v>7.8660989050084966</v>
      </c>
      <c r="D19" s="9">
        <f>D17/(1+D15/2)</f>
        <v>5.6573500156505272</v>
      </c>
      <c r="E19" s="9">
        <f>E17/(1+E15/2)</f>
        <v>18.325832366149811</v>
      </c>
    </row>
    <row r="21" spans="1:6">
      <c r="A21" s="8" t="s">
        <v>16</v>
      </c>
      <c r="B21" s="9">
        <f>'Bond A&amp;B'!F27</f>
        <v>58.850928288212543</v>
      </c>
      <c r="C21" s="9">
        <f>'Bond A&amp;B'!N27</f>
        <v>55.715573352578332</v>
      </c>
      <c r="D21" s="9">
        <f>'Bond C &amp; D'!F18</f>
        <v>11.317174745612098</v>
      </c>
      <c r="E21" s="9">
        <f>'Bond C &amp; D'!N58</f>
        <v>483.45663680818313</v>
      </c>
    </row>
    <row r="24" spans="1:6">
      <c r="A24" t="s">
        <v>35</v>
      </c>
    </row>
    <row r="25" spans="1:6">
      <c r="A25" s="28" t="s">
        <v>36</v>
      </c>
      <c r="B25" s="27" t="s">
        <v>37</v>
      </c>
      <c r="C25" s="27"/>
      <c r="D25" s="27"/>
      <c r="E25" s="27"/>
      <c r="F25" s="27"/>
    </row>
    <row r="26" spans="1:6">
      <c r="C26" t="s">
        <v>38</v>
      </c>
    </row>
    <row r="28" spans="1:6">
      <c r="A28" s="29" t="s">
        <v>39</v>
      </c>
      <c r="B28" s="29">
        <v>5.26</v>
      </c>
      <c r="C28" s="29">
        <v>4.9000000000000004</v>
      </c>
      <c r="D28" s="29" t="s">
        <v>47</v>
      </c>
      <c r="E28" s="2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3705-1174-4AFE-ACFF-440097C0A6BC}">
  <dimension ref="A1:N28"/>
  <sheetViews>
    <sheetView workbookViewId="0">
      <selection activeCell="M27" sqref="M27"/>
    </sheetView>
  </sheetViews>
  <sheetFormatPr defaultRowHeight="14.4"/>
  <cols>
    <col min="2" max="2" width="12" bestFit="1" customWidth="1"/>
    <col min="3" max="3" width="9.5546875" bestFit="1" customWidth="1"/>
    <col min="4" max="4" width="10.44140625" bestFit="1" customWidth="1"/>
    <col min="5" max="5" width="12.6640625" bestFit="1" customWidth="1"/>
    <col min="6" max="6" width="11.5546875" bestFit="1" customWidth="1"/>
    <col min="7" max="7" width="27.5546875" bestFit="1" customWidth="1"/>
    <col min="10" max="11" width="12" bestFit="1" customWidth="1"/>
    <col min="12" max="12" width="10.109375" bestFit="1" customWidth="1"/>
    <col min="13" max="13" width="15.6640625" bestFit="1" customWidth="1"/>
    <col min="14" max="14" width="11" bestFit="1" customWidth="1"/>
  </cols>
  <sheetData>
    <row r="1" spans="1:14">
      <c r="A1" t="s">
        <v>3</v>
      </c>
      <c r="B1" s="15">
        <v>2.7300000000000001E-2</v>
      </c>
      <c r="C1" s="16">
        <v>1.027E-2</v>
      </c>
      <c r="I1" t="s">
        <v>4</v>
      </c>
      <c r="K1" t="s">
        <v>34</v>
      </c>
      <c r="L1">
        <v>100.78</v>
      </c>
    </row>
    <row r="2" spans="1:14">
      <c r="A2" t="s">
        <v>32</v>
      </c>
      <c r="B2">
        <v>101.43</v>
      </c>
      <c r="C2" s="16"/>
    </row>
    <row r="4" spans="1:14">
      <c r="A4" t="s">
        <v>18</v>
      </c>
      <c r="B4" t="s">
        <v>17</v>
      </c>
      <c r="C4" t="s">
        <v>19</v>
      </c>
      <c r="D4" t="s">
        <v>20</v>
      </c>
      <c r="E4" t="s">
        <v>21</v>
      </c>
      <c r="F4" t="s">
        <v>16</v>
      </c>
      <c r="I4" t="s">
        <v>18</v>
      </c>
      <c r="J4" t="s">
        <v>17</v>
      </c>
      <c r="K4" t="s">
        <v>22</v>
      </c>
      <c r="L4" t="s">
        <v>23</v>
      </c>
      <c r="M4" t="s">
        <v>24</v>
      </c>
      <c r="N4" t="s">
        <v>16</v>
      </c>
    </row>
    <row r="5" spans="1:14">
      <c r="A5">
        <v>1</v>
      </c>
      <c r="B5">
        <v>2.73</v>
      </c>
      <c r="C5" s="13">
        <f>1/1.027</f>
        <v>0.97370983446932824</v>
      </c>
      <c r="D5" s="14">
        <f>B5/1.027</f>
        <v>2.6582278481012662</v>
      </c>
      <c r="E5" s="14">
        <f>D5*A5</f>
        <v>2.6582278481012662</v>
      </c>
      <c r="F5" s="14">
        <f>1*(1+1)*2.725/(1+0.0265)^A5</f>
        <v>5.3093034583536296</v>
      </c>
      <c r="I5">
        <v>1</v>
      </c>
      <c r="J5">
        <v>2.5</v>
      </c>
      <c r="K5" s="13">
        <f>1/(1.025)</f>
        <v>0.97560975609756106</v>
      </c>
      <c r="L5" s="14">
        <f>J5/(1.025)</f>
        <v>2.4390243902439028</v>
      </c>
      <c r="M5" s="14">
        <f>L5*I5</f>
        <v>2.4390243902439028</v>
      </c>
      <c r="N5" s="14">
        <f>I5*(I5+1)*2.5/(1+0.0245)^I5</f>
        <v>4.8804294777940465</v>
      </c>
    </row>
    <row r="6" spans="1:14">
      <c r="A6">
        <v>2</v>
      </c>
      <c r="B6">
        <v>2.73</v>
      </c>
      <c r="C6" s="13">
        <f>1/(1.027)^2</f>
        <v>0.94811084174228655</v>
      </c>
      <c r="D6" s="14">
        <f>B6/(1.027)^2</f>
        <v>2.5883425979564425</v>
      </c>
      <c r="E6" s="14">
        <f t="shared" ref="E6:E9" si="0">D6*A6</f>
        <v>5.176685195912885</v>
      </c>
      <c r="F6" s="14">
        <f>A6*(A6+1)*2.725/(1+0.0265)^A6</f>
        <v>15.516717364891271</v>
      </c>
      <c r="I6">
        <v>2</v>
      </c>
      <c r="J6">
        <v>2.5</v>
      </c>
      <c r="K6" s="13">
        <f>1/(1.025)^2</f>
        <v>0.95181439619274244</v>
      </c>
      <c r="L6" s="14">
        <f>J6/(1.025)^2</f>
        <v>2.3795359904818563</v>
      </c>
      <c r="M6" s="14">
        <f t="shared" ref="M6:M24" si="1">L6*I6</f>
        <v>4.7590719809637125</v>
      </c>
      <c r="N6" s="14">
        <f t="shared" ref="N6:N24" si="2">I6*(I6+1)*2.5/(1+0.0245)^I6</f>
        <v>14.291155132632639</v>
      </c>
    </row>
    <row r="7" spans="1:14">
      <c r="A7">
        <v>3</v>
      </c>
      <c r="B7">
        <v>2.73</v>
      </c>
      <c r="C7" s="13">
        <f>1/(1.027)^3</f>
        <v>0.92318485077145729</v>
      </c>
      <c r="D7" s="14">
        <f>B7/(1.027)^3</f>
        <v>2.5202946426060784</v>
      </c>
      <c r="E7" s="14">
        <f t="shared" si="0"/>
        <v>7.5608839278182352</v>
      </c>
      <c r="F7" s="14">
        <f t="shared" ref="F7:F24" si="3">A7*(A7+1)*2.725/(1+0.0265)^A7</f>
        <v>30.232279327601113</v>
      </c>
      <c r="I7">
        <v>3</v>
      </c>
      <c r="J7">
        <v>2.5</v>
      </c>
      <c r="K7" s="13">
        <f>1/(1.025)^3</f>
        <v>0.92859941091974885</v>
      </c>
      <c r="L7" s="14">
        <f>J7/(1.025)^3</f>
        <v>2.3214985272993718</v>
      </c>
      <c r="M7" s="14">
        <f t="shared" si="1"/>
        <v>6.9644955818981149</v>
      </c>
      <c r="N7" s="14">
        <f t="shared" si="2"/>
        <v>27.898789912411207</v>
      </c>
    </row>
    <row r="8" spans="1:14">
      <c r="A8">
        <v>4</v>
      </c>
      <c r="B8">
        <v>2.73</v>
      </c>
      <c r="C8" s="13">
        <f>1/(1.027)^4</f>
        <v>0.89891416822926717</v>
      </c>
      <c r="D8" s="14">
        <f>B8/(1.027)^4</f>
        <v>2.4540356792658993</v>
      </c>
      <c r="E8" s="14">
        <f t="shared" si="0"/>
        <v>9.8161427170635971</v>
      </c>
      <c r="F8" s="14">
        <f t="shared" si="3"/>
        <v>49.086344094172937</v>
      </c>
      <c r="I8">
        <v>4</v>
      </c>
      <c r="J8">
        <v>2.5</v>
      </c>
      <c r="K8" s="13">
        <f>1/(1.025)^4</f>
        <v>0.90595064479975507</v>
      </c>
      <c r="L8" s="14">
        <f>J8/(1.025)^4</f>
        <v>2.2648766119993877</v>
      </c>
      <c r="M8" s="14">
        <f t="shared" si="1"/>
        <v>9.0595064479975509</v>
      </c>
      <c r="N8" s="14">
        <f t="shared" si="2"/>
        <v>45.386025561104937</v>
      </c>
    </row>
    <row r="9" spans="1:14">
      <c r="A9">
        <v>5</v>
      </c>
      <c r="B9">
        <v>2.73</v>
      </c>
      <c r="C9" s="13">
        <f>1/(1.027)^5</f>
        <v>0.87528156594865358</v>
      </c>
      <c r="D9" s="14">
        <f>B9/(1.027)^5</f>
        <v>2.3895186750398243</v>
      </c>
      <c r="E9" s="14">
        <f t="shared" si="0"/>
        <v>11.947593375199121</v>
      </c>
      <c r="F9" s="14">
        <f t="shared" si="3"/>
        <v>71.728705446916123</v>
      </c>
      <c r="I9">
        <v>5</v>
      </c>
      <c r="J9">
        <v>2.5</v>
      </c>
      <c r="K9" s="13">
        <f>1/(1.025)^5</f>
        <v>0.88385428760951712</v>
      </c>
      <c r="L9" s="14">
        <f>J9/(1.025)^5</f>
        <v>2.209635719023793</v>
      </c>
      <c r="M9" s="14">
        <f t="shared" si="1"/>
        <v>11.048178595118966</v>
      </c>
      <c r="N9" s="14">
        <f t="shared" si="2"/>
        <v>66.450989108499186</v>
      </c>
    </row>
    <row r="10" spans="1:14">
      <c r="A10">
        <v>6</v>
      </c>
      <c r="B10">
        <v>2.73</v>
      </c>
      <c r="C10" s="13">
        <f>1/(1.027)^6</f>
        <v>0.85227026869391798</v>
      </c>
      <c r="D10" s="14">
        <f>B10/(1.027)^6</f>
        <v>2.326697833534396</v>
      </c>
      <c r="E10" s="14">
        <f>D10*A10</f>
        <v>13.960187001206375</v>
      </c>
      <c r="F10" s="14">
        <f t="shared" si="3"/>
        <v>97.827752192579226</v>
      </c>
      <c r="I10">
        <v>6</v>
      </c>
      <c r="J10">
        <v>2.5</v>
      </c>
      <c r="K10" s="13">
        <f>1/(1.025)^6</f>
        <v>0.86229686596050459</v>
      </c>
      <c r="L10" s="14">
        <f>J10/(1.025)^6</f>
        <v>2.1557421649012616</v>
      </c>
      <c r="M10" s="14">
        <f t="shared" si="1"/>
        <v>12.934452989407569</v>
      </c>
      <c r="N10" s="14">
        <f t="shared" si="2"/>
        <v>90.806622500633353</v>
      </c>
    </row>
    <row r="11" spans="1:14">
      <c r="A11">
        <v>7</v>
      </c>
      <c r="B11">
        <v>2.73</v>
      </c>
      <c r="C11" s="13">
        <f>1/(1.027)^7</f>
        <v>0.82986394225308469</v>
      </c>
      <c r="D11" s="14">
        <f>B11/(1.027)^7</f>
        <v>2.2655285623509211</v>
      </c>
      <c r="E11" s="14">
        <f t="shared" ref="E11:E24" si="4">D11*A11</f>
        <v>15.858699936456448</v>
      </c>
      <c r="F11" s="14">
        <f t="shared" si="3"/>
        <v>127.06965701260496</v>
      </c>
      <c r="I11">
        <v>7</v>
      </c>
      <c r="J11">
        <v>2.5</v>
      </c>
      <c r="K11" s="13">
        <f>1/(1.025)^7</f>
        <v>0.84126523508341911</v>
      </c>
      <c r="L11" s="14">
        <f>I11/(1.025)^7</f>
        <v>5.8888566455839335</v>
      </c>
      <c r="M11" s="14">
        <f t="shared" si="1"/>
        <v>41.221996519087533</v>
      </c>
      <c r="N11" s="14">
        <f t="shared" si="2"/>
        <v>118.18008459493522</v>
      </c>
    </row>
    <row r="12" spans="1:14">
      <c r="A12">
        <v>8</v>
      </c>
      <c r="B12">
        <v>2.73</v>
      </c>
      <c r="C12" s="13">
        <f>1/(1.027)^8</f>
        <v>0.8080466818433153</v>
      </c>
      <c r="D12" s="14">
        <f>B12/(1.027)^8</f>
        <v>2.2059674414322505</v>
      </c>
      <c r="E12" s="14">
        <f t="shared" si="4"/>
        <v>17.647739531458004</v>
      </c>
      <c r="F12" s="14">
        <f t="shared" si="3"/>
        <v>159.15759698190033</v>
      </c>
      <c r="I12">
        <v>8</v>
      </c>
      <c r="J12">
        <v>2.5</v>
      </c>
      <c r="K12" s="13">
        <f>1/(1.025)^8</f>
        <v>0.82074657081309188</v>
      </c>
      <c r="L12" s="14">
        <f>J12/(1.025)^8</f>
        <v>2.0518664270327296</v>
      </c>
      <c r="M12" s="14">
        <f t="shared" si="1"/>
        <v>16.414931416261837</v>
      </c>
      <c r="N12" s="14">
        <f t="shared" si="2"/>
        <v>148.3121747687955</v>
      </c>
    </row>
    <row r="13" spans="1:14">
      <c r="A13">
        <v>9</v>
      </c>
      <c r="B13">
        <v>2.73</v>
      </c>
      <c r="C13" s="13">
        <f>1/(1.027)^9</f>
        <v>0.78680300082114452</v>
      </c>
      <c r="D13" s="14">
        <f>B13/(1.027)^9</f>
        <v>2.1479721922417245</v>
      </c>
      <c r="E13" s="14">
        <f t="shared" si="4"/>
        <v>19.33174973017552</v>
      </c>
      <c r="F13" s="14">
        <f t="shared" si="3"/>
        <v>193.81100460533403</v>
      </c>
      <c r="I13">
        <v>9</v>
      </c>
      <c r="J13">
        <v>2.5</v>
      </c>
      <c r="K13" s="13">
        <f>1/(1.025)^9</f>
        <v>0.8007283617688703</v>
      </c>
      <c r="L13" s="14">
        <f>J13/(1.025)^9</f>
        <v>2.0018209044221758</v>
      </c>
      <c r="M13" s="14">
        <f t="shared" si="1"/>
        <v>18.016388139799581</v>
      </c>
      <c r="N13" s="14">
        <f t="shared" si="2"/>
        <v>180.95677741434298</v>
      </c>
    </row>
    <row r="14" spans="1:14">
      <c r="A14">
        <v>10</v>
      </c>
      <c r="B14">
        <v>2.73</v>
      </c>
      <c r="C14" s="13">
        <f>1/(1.027)^10</f>
        <v>0.7661178196895273</v>
      </c>
      <c r="D14" s="14">
        <f>B14/(1.027)^10</f>
        <v>2.0915016477524095</v>
      </c>
      <c r="E14" s="14">
        <f t="shared" si="4"/>
        <v>20.915016477524095</v>
      </c>
      <c r="F14" s="14">
        <f t="shared" si="3"/>
        <v>230.76484826093787</v>
      </c>
      <c r="I14">
        <v>10</v>
      </c>
      <c r="J14">
        <v>2.5</v>
      </c>
      <c r="K14" s="13">
        <f>1/(1.025)^10</f>
        <v>0.78119840172572708</v>
      </c>
      <c r="L14" s="14">
        <f>J14/(1.025)^10</f>
        <v>1.9529960043143177</v>
      </c>
      <c r="M14" s="14">
        <f t="shared" si="1"/>
        <v>19.529960043143177</v>
      </c>
      <c r="N14" s="14">
        <f t="shared" si="2"/>
        <v>215.88032661545179</v>
      </c>
    </row>
    <row r="15" spans="1:14">
      <c r="A15">
        <v>11</v>
      </c>
      <c r="B15">
        <v>2.73</v>
      </c>
      <c r="C15" s="13">
        <f>1/(1.027)^11</f>
        <v>0.74597645539389223</v>
      </c>
      <c r="D15" s="14">
        <f>B15/(1.027)^11</f>
        <v>2.0365157232253259</v>
      </c>
      <c r="E15" s="14">
        <f t="shared" si="4"/>
        <v>22.401672955478585</v>
      </c>
      <c r="F15" s="14">
        <f t="shared" si="3"/>
        <v>269.76894097722891</v>
      </c>
      <c r="I15">
        <v>11</v>
      </c>
      <c r="J15">
        <v>2.5</v>
      </c>
      <c r="K15" s="13">
        <f>1/(1.025)^11</f>
        <v>0.7621447821714411</v>
      </c>
      <c r="L15" s="14">
        <f>J15/(1.025)^11</f>
        <v>1.9053619554286028</v>
      </c>
      <c r="M15" s="14">
        <f t="shared" si="1"/>
        <v>20.958981509714629</v>
      </c>
      <c r="N15" s="14">
        <f t="shared" si="2"/>
        <v>252.86129032556579</v>
      </c>
    </row>
    <row r="16" spans="1:14">
      <c r="A16">
        <v>12</v>
      </c>
      <c r="B16">
        <v>2.73</v>
      </c>
      <c r="C16" s="13">
        <f>1/(1.027)^12</f>
        <v>0.72636461089960302</v>
      </c>
      <c r="D16" s="14">
        <f>B16/(1.027)^12</f>
        <v>1.9829753877559162</v>
      </c>
      <c r="E16" s="14">
        <f t="shared" si="4"/>
        <v>23.795704653070995</v>
      </c>
      <c r="F16" s="14">
        <f t="shared" si="3"/>
        <v>310.58727650923049</v>
      </c>
      <c r="I16">
        <v>12</v>
      </c>
      <c r="J16">
        <v>2.5</v>
      </c>
      <c r="K16" s="13">
        <f>1/(1.025)^12</f>
        <v>0.74355588504530845</v>
      </c>
      <c r="L16" s="14">
        <f>J16/(1.025)^12</f>
        <v>1.8588897126132711</v>
      </c>
      <c r="M16" s="14">
        <f t="shared" si="1"/>
        <v>22.306676551359253</v>
      </c>
      <c r="N16" s="14">
        <f t="shared" si="2"/>
        <v>291.6896733867834</v>
      </c>
    </row>
    <row r="17" spans="1:14">
      <c r="A17">
        <v>13</v>
      </c>
      <c r="B17">
        <v>2.73</v>
      </c>
      <c r="C17" s="13">
        <f>1/(1.027)^13</f>
        <v>0.70726836504343049</v>
      </c>
      <c r="D17" s="14">
        <f>B17/(1.027)^13</f>
        <v>1.9308426365685654</v>
      </c>
      <c r="E17" s="14">
        <f t="shared" si="4"/>
        <v>25.100954275391349</v>
      </c>
      <c r="F17" s="14">
        <f t="shared" si="3"/>
        <v>352.99739171368941</v>
      </c>
      <c r="I17">
        <v>13</v>
      </c>
      <c r="J17">
        <v>2.5</v>
      </c>
      <c r="K17" s="13">
        <f>1/(1.025)^13</f>
        <v>0.72542037565395945</v>
      </c>
      <c r="L17" s="14">
        <f>J17/(1.025)^13</f>
        <v>1.8135509391348987</v>
      </c>
      <c r="M17" s="14">
        <f t="shared" si="1"/>
        <v>23.576162208753683</v>
      </c>
      <c r="N17" s="14">
        <f t="shared" si="2"/>
        <v>332.16653875182749</v>
      </c>
    </row>
    <row r="18" spans="1:14">
      <c r="A18">
        <v>14</v>
      </c>
      <c r="B18">
        <v>2.73</v>
      </c>
      <c r="C18" s="13">
        <f>1/(1.027)^14</f>
        <v>0.68867416265183112</v>
      </c>
      <c r="D18" s="14">
        <f>B18/(1.027)^14</f>
        <v>1.8800804640394988</v>
      </c>
      <c r="E18" s="14">
        <f t="shared" si="4"/>
        <v>26.321126496552985</v>
      </c>
      <c r="F18" s="14">
        <f t="shared" si="3"/>
        <v>396.78975425870897</v>
      </c>
      <c r="G18" s="14"/>
      <c r="I18">
        <v>14</v>
      </c>
      <c r="J18">
        <v>2.5</v>
      </c>
      <c r="K18" s="13">
        <f>1/(1.025)^14</f>
        <v>0.70772719575996057</v>
      </c>
      <c r="L18" s="14">
        <f>J18/(1.025)^14</f>
        <v>1.7693179893999014</v>
      </c>
      <c r="M18" s="14">
        <f t="shared" si="1"/>
        <v>24.770451851598619</v>
      </c>
      <c r="N18" s="14">
        <f t="shared" si="2"/>
        <v>374.10354629105478</v>
      </c>
    </row>
    <row r="19" spans="1:14">
      <c r="A19">
        <v>15</v>
      </c>
      <c r="B19">
        <v>2.73</v>
      </c>
      <c r="C19" s="13">
        <f>1/(1.027)^15</f>
        <v>0.67056880491901771</v>
      </c>
      <c r="D19" s="14">
        <f>B19/(1.027)^15</f>
        <v>1.8306528374289184</v>
      </c>
      <c r="E19" s="14">
        <f t="shared" si="4"/>
        <v>27.459792561433776</v>
      </c>
      <c r="F19" s="14">
        <f t="shared" si="3"/>
        <v>441.76717473657675</v>
      </c>
      <c r="G19" s="14"/>
      <c r="I19">
        <v>15</v>
      </c>
      <c r="J19">
        <v>2.5</v>
      </c>
      <c r="K19" s="13">
        <f>1/(1.025)^15</f>
        <v>0.69046555683898581</v>
      </c>
      <c r="L19" s="14">
        <f>J19/(1.025)^15</f>
        <v>1.7261638920974645</v>
      </c>
      <c r="M19" s="14">
        <f t="shared" si="1"/>
        <v>25.892458381461967</v>
      </c>
      <c r="N19" s="14">
        <f t="shared" si="2"/>
        <v>417.32250858654936</v>
      </c>
    </row>
    <row r="20" spans="1:14">
      <c r="A20">
        <v>16</v>
      </c>
      <c r="B20">
        <v>2.73</v>
      </c>
      <c r="C20" s="13">
        <f>1/(1.027)^16</f>
        <v>0.65293944003799198</v>
      </c>
      <c r="D20" s="14">
        <f>B20/(1.027)^16</f>
        <v>1.7825246713037182</v>
      </c>
      <c r="E20" s="14">
        <f t="shared" si="4"/>
        <v>28.520394740859491</v>
      </c>
      <c r="F20" s="14">
        <f t="shared" si="3"/>
        <v>487.74424228100696</v>
      </c>
      <c r="I20">
        <v>16</v>
      </c>
      <c r="J20">
        <v>2.5</v>
      </c>
      <c r="K20" s="13">
        <f>1/(1.025)^16</f>
        <v>0.67362493350144959</v>
      </c>
      <c r="L20" s="14">
        <f>J20/(1.025)^16</f>
        <v>1.684062333753624</v>
      </c>
      <c r="M20" s="14">
        <f t="shared" si="1"/>
        <v>26.944997340057984</v>
      </c>
      <c r="N20" s="14">
        <f t="shared" si="2"/>
        <v>461.65496313462427</v>
      </c>
    </row>
    <row r="21" spans="1:14">
      <c r="A21">
        <v>17</v>
      </c>
      <c r="B21">
        <v>2.73</v>
      </c>
      <c r="C21" s="13">
        <f>1/(1.027)^17</f>
        <v>0.63577355407788916</v>
      </c>
      <c r="D21" s="14">
        <f>B21/(1.027)^17</f>
        <v>1.7356618026326371</v>
      </c>
      <c r="E21" s="14">
        <f t="shared" si="4"/>
        <v>29.506250644754832</v>
      </c>
      <c r="F21" s="14">
        <f t="shared" si="3"/>
        <v>534.54678282136661</v>
      </c>
      <c r="I21">
        <v>17</v>
      </c>
      <c r="J21">
        <v>2.5</v>
      </c>
      <c r="K21" s="13">
        <f>1/(1.025)^17</f>
        <v>0.65719505707458503</v>
      </c>
      <c r="L21" s="14">
        <f>J21/(1.025)^17</f>
        <v>1.6429876426864627</v>
      </c>
      <c r="M21" s="14">
        <f t="shared" si="1"/>
        <v>27.930789925669867</v>
      </c>
      <c r="N21" s="14">
        <f t="shared" si="2"/>
        <v>506.94176039673243</v>
      </c>
    </row>
    <row r="22" spans="1:14">
      <c r="A22">
        <v>18</v>
      </c>
      <c r="B22">
        <v>2.73</v>
      </c>
      <c r="C22" s="13">
        <f>1/(1.027)^18</f>
        <v>0.61905896210115785</v>
      </c>
      <c r="D22" s="14">
        <f>B22/(1.027)^18</f>
        <v>1.690030966536161</v>
      </c>
      <c r="E22" s="14">
        <f t="shared" si="4"/>
        <v>30.420557397650899</v>
      </c>
      <c r="F22" s="14">
        <f t="shared" si="3"/>
        <v>582.01133913675631</v>
      </c>
      <c r="I22">
        <v>18</v>
      </c>
      <c r="J22">
        <v>2.5</v>
      </c>
      <c r="K22" s="13">
        <f>1/(1.025)^18</f>
        <v>0.64116590934105855</v>
      </c>
      <c r="L22" s="14">
        <f>J22/(1.025)^18</f>
        <v>1.6029147733526463</v>
      </c>
      <c r="M22" s="14">
        <f t="shared" si="1"/>
        <v>28.852465920347633</v>
      </c>
      <c r="N22" s="14">
        <f t="shared" si="2"/>
        <v>553.03266715688665</v>
      </c>
    </row>
    <row r="23" spans="1:14">
      <c r="A23">
        <v>19</v>
      </c>
      <c r="B23">
        <v>2.73</v>
      </c>
      <c r="C23" s="13">
        <f>1/(1.027)^19</f>
        <v>0.60278379951427252</v>
      </c>
      <c r="D23" s="14">
        <f>B23/(1.027)^19</f>
        <v>1.645599772673964</v>
      </c>
      <c r="E23" s="14">
        <f t="shared" si="4"/>
        <v>31.266395680805314</v>
      </c>
      <c r="F23" s="14">
        <f t="shared" si="3"/>
        <v>629.98467190210135</v>
      </c>
      <c r="I23">
        <v>19</v>
      </c>
      <c r="J23">
        <v>2.5</v>
      </c>
      <c r="K23" s="13">
        <f>1/(1.025)^19</f>
        <v>0.62552771643030103</v>
      </c>
      <c r="L23" s="14">
        <f>J23/(1.025)^19</f>
        <v>1.5638192910757527</v>
      </c>
      <c r="M23" s="14">
        <f t="shared" si="1"/>
        <v>29.7125665304393</v>
      </c>
      <c r="N23" s="14">
        <f t="shared" si="2"/>
        <v>599.78598466122958</v>
      </c>
    </row>
    <row r="24" spans="1:14">
      <c r="A24">
        <v>20</v>
      </c>
      <c r="B24">
        <v>102.73</v>
      </c>
      <c r="C24" s="13">
        <f>1/(1.027)^20</f>
        <v>0.5869365136458351</v>
      </c>
      <c r="D24" s="14">
        <f>B24/(1.027)^20</f>
        <v>60.295988046836641</v>
      </c>
      <c r="E24" s="14">
        <f t="shared" si="4"/>
        <v>1205.9197609367329</v>
      </c>
      <c r="F24" s="14">
        <f t="shared" si="3"/>
        <v>678.32328094670845</v>
      </c>
      <c r="I24">
        <v>20</v>
      </c>
      <c r="J24">
        <v>102.5</v>
      </c>
      <c r="K24" s="13">
        <f>1/(1.025)^20</f>
        <v>0.61027094285883032</v>
      </c>
      <c r="L24" s="14">
        <f>J24/(1.025)^20</f>
        <v>62.552771643030113</v>
      </c>
      <c r="M24" s="14">
        <f t="shared" si="1"/>
        <v>1251.0554328606022</v>
      </c>
      <c r="N24" s="14">
        <f t="shared" si="2"/>
        <v>647.0681810323814</v>
      </c>
    </row>
    <row r="25" spans="1:14">
      <c r="D25" s="7"/>
      <c r="E25" s="17">
        <f>SUM(E5:E24)</f>
        <v>1575.5855360836467</v>
      </c>
      <c r="F25" s="19">
        <f>SUM(F5:F24)</f>
        <v>5665.0250640286658</v>
      </c>
      <c r="M25" s="18">
        <f>SUM(M5:M24)</f>
        <v>1624.3889891839272</v>
      </c>
      <c r="N25" s="17">
        <f>SUM(N5:N24)</f>
        <v>5349.6704888102349</v>
      </c>
    </row>
    <row r="27" spans="1:14">
      <c r="B27" t="s">
        <v>33</v>
      </c>
      <c r="C27">
        <f>E25/B2</f>
        <v>15.533723120217358</v>
      </c>
      <c r="E27" t="s">
        <v>16</v>
      </c>
      <c r="F27">
        <f>F25/B2*(1.0265)^2</f>
        <v>58.850928288212543</v>
      </c>
      <c r="J27" t="s">
        <v>33</v>
      </c>
      <c r="K27">
        <f>M25/L1</f>
        <v>16.118168180034999</v>
      </c>
      <c r="M27" t="s">
        <v>16</v>
      </c>
      <c r="N27">
        <f>N25/L1*(1.0245)^2</f>
        <v>55.715573352578332</v>
      </c>
    </row>
    <row r="28" spans="1:14">
      <c r="C28">
        <f>C27/2</f>
        <v>7.766861560108679</v>
      </c>
      <c r="K28">
        <f>K27/2</f>
        <v>8.0590840900174996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2B31-1DC5-4B35-9008-514C0F0B31E3}">
  <dimension ref="A1:N60"/>
  <sheetViews>
    <sheetView topLeftCell="A2" workbookViewId="0">
      <selection activeCell="F19" sqref="F19"/>
    </sheetView>
  </sheetViews>
  <sheetFormatPr defaultRowHeight="14.4"/>
  <cols>
    <col min="3" max="3" width="12" bestFit="1" customWidth="1"/>
    <col min="4" max="4" width="12.109375" bestFit="1" customWidth="1"/>
    <col min="5" max="5" width="14.44140625" bestFit="1" customWidth="1"/>
    <col min="6" max="6" width="9" bestFit="1" customWidth="1"/>
    <col min="12" max="12" width="13" customWidth="1"/>
    <col min="13" max="13" width="12.33203125" bestFit="1" customWidth="1"/>
    <col min="14" max="14" width="10.5546875" bestFit="1" customWidth="1"/>
  </cols>
  <sheetData>
    <row r="1" spans="1:14">
      <c r="A1" t="s">
        <v>5</v>
      </c>
      <c r="I1" t="s">
        <v>6</v>
      </c>
    </row>
    <row r="3" spans="1:14">
      <c r="A3" s="20" t="s">
        <v>18</v>
      </c>
      <c r="B3" s="20" t="s">
        <v>17</v>
      </c>
      <c r="C3" s="20" t="s">
        <v>25</v>
      </c>
      <c r="D3" s="20" t="s">
        <v>26</v>
      </c>
      <c r="E3" s="20" t="s">
        <v>27</v>
      </c>
      <c r="F3" s="20" t="s">
        <v>16</v>
      </c>
      <c r="G3" s="20"/>
      <c r="H3" s="20"/>
      <c r="I3" s="20" t="s">
        <v>18</v>
      </c>
      <c r="J3" s="20" t="s">
        <v>17</v>
      </c>
      <c r="K3" s="20" t="s">
        <v>28</v>
      </c>
      <c r="L3" s="20" t="s">
        <v>29</v>
      </c>
      <c r="M3" s="20" t="s">
        <v>30</v>
      </c>
      <c r="N3" s="20" t="s">
        <v>16</v>
      </c>
    </row>
    <row r="4" spans="1:14">
      <c r="A4" s="20">
        <v>1</v>
      </c>
      <c r="B4" s="20">
        <v>1.7250000000000001</v>
      </c>
      <c r="C4" s="21">
        <f>1/(1.0725)^A4</f>
        <v>0.93240093240093236</v>
      </c>
      <c r="D4" s="20">
        <f>B4/(1.01725)^A4</f>
        <v>1.6957483411157535</v>
      </c>
      <c r="E4" s="20">
        <f>B4*A4/(1.01725)^A4</f>
        <v>1.6957483411157535</v>
      </c>
      <c r="F4" s="24">
        <f>A4*(A4+1)*1.725/(1+0.0225)^A4</f>
        <v>3.3740831295843523</v>
      </c>
      <c r="G4" s="20"/>
      <c r="H4" s="20"/>
      <c r="I4" s="20">
        <v>1</v>
      </c>
      <c r="J4" s="20">
        <v>2.1</v>
      </c>
      <c r="K4" s="21">
        <f>1/(1.021)^I4</f>
        <v>0.97943192948090119</v>
      </c>
      <c r="L4" s="21">
        <f>J4/(1.021)^I4</f>
        <v>2.0568070519098924</v>
      </c>
      <c r="M4" s="21">
        <f>J4*I4/(1.021)^I4</f>
        <v>2.0568070519098924</v>
      </c>
      <c r="N4" s="24">
        <f>I4*(I4+1)*2.1/(1+0.0262)^I4</f>
        <v>4.0927694406548429</v>
      </c>
    </row>
    <row r="5" spans="1:14">
      <c r="A5" s="20">
        <v>2</v>
      </c>
      <c r="B5" s="20">
        <v>1.7250000000000001</v>
      </c>
      <c r="C5" s="21">
        <f t="shared" ref="C5:C15" si="0">1/(1.0725)^A5</f>
        <v>0.86937149874212816</v>
      </c>
      <c r="D5" s="20">
        <f t="shared" ref="D5:D15" si="1">B5/(1.01725)^A5</f>
        <v>1.6669927167517853</v>
      </c>
      <c r="E5" s="20">
        <f t="shared" ref="E5:E14" si="2">B5*A5/(1.01725)^A5</f>
        <v>3.3339854335035706</v>
      </c>
      <c r="F5" s="24">
        <f t="shared" ref="F5:F15" si="3">A5*(A5+1)*1.725/(1+0.0225)^A5</f>
        <v>9.8995104046484688</v>
      </c>
      <c r="G5" s="20"/>
      <c r="H5" s="20"/>
      <c r="I5" s="20">
        <v>2</v>
      </c>
      <c r="J5" s="20">
        <v>2.1</v>
      </c>
      <c r="K5" s="21">
        <f t="shared" ref="K5:K55" si="4">1/(1.021)^I5</f>
        <v>0.95928690448668108</v>
      </c>
      <c r="L5" s="21">
        <f t="shared" ref="L5:L55" si="5">J5/(1.021)^I5</f>
        <v>2.0145024994220302</v>
      </c>
      <c r="M5" s="21">
        <f t="shared" ref="M5:M55" si="6">J5*I5/(1.021)^I5</f>
        <v>4.0290049988440604</v>
      </c>
      <c r="N5" s="24">
        <f t="shared" ref="N5:N55" si="7">I5*(I5+1)*2.1/(1+0.0262)^I5</f>
        <v>11.964829781684401</v>
      </c>
    </row>
    <row r="6" spans="1:14">
      <c r="A6" s="20">
        <v>3</v>
      </c>
      <c r="B6" s="20">
        <v>1.7250000000000001</v>
      </c>
      <c r="C6" s="21">
        <f t="shared" si="0"/>
        <v>0.81060279602995633</v>
      </c>
      <c r="D6" s="20">
        <f t="shared" si="1"/>
        <v>1.6387247154109463</v>
      </c>
      <c r="E6" s="20">
        <f t="shared" si="2"/>
        <v>4.9161741462328399</v>
      </c>
      <c r="F6" s="24">
        <f t="shared" si="3"/>
        <v>19.363345534764733</v>
      </c>
      <c r="G6" s="20"/>
      <c r="H6" s="20"/>
      <c r="I6" s="20">
        <v>3</v>
      </c>
      <c r="J6" s="20">
        <v>2.1</v>
      </c>
      <c r="K6" s="21">
        <f t="shared" si="4"/>
        <v>0.93955622378715087</v>
      </c>
      <c r="L6" s="21">
        <f t="shared" si="5"/>
        <v>1.973068069953017</v>
      </c>
      <c r="M6" s="21">
        <f t="shared" si="6"/>
        <v>5.9192042098590516</v>
      </c>
      <c r="N6" s="24">
        <f t="shared" si="7"/>
        <v>23.318709377673745</v>
      </c>
    </row>
    <row r="7" spans="1:14">
      <c r="A7" s="20">
        <v>4</v>
      </c>
      <c r="B7" s="20">
        <v>1.7250000000000001</v>
      </c>
      <c r="C7" s="21">
        <f t="shared" si="0"/>
        <v>0.75580680282513402</v>
      </c>
      <c r="D7" s="20">
        <f t="shared" si="1"/>
        <v>1.6109360682339116</v>
      </c>
      <c r="E7" s="20">
        <f t="shared" si="2"/>
        <v>6.4437442729356462</v>
      </c>
      <c r="F7" s="24">
        <f t="shared" si="3"/>
        <v>31.562095411189453</v>
      </c>
      <c r="G7" s="20"/>
      <c r="H7" s="20"/>
      <c r="I7" s="20">
        <v>4</v>
      </c>
      <c r="J7" s="20">
        <v>2.1</v>
      </c>
      <c r="K7" s="21">
        <f t="shared" si="4"/>
        <v>0.92023136511963866</v>
      </c>
      <c r="L7" s="21">
        <f t="shared" si="5"/>
        <v>1.9324858667512412</v>
      </c>
      <c r="M7" s="21">
        <f t="shared" si="6"/>
        <v>7.7299434670049649</v>
      </c>
      <c r="N7" s="24">
        <f t="shared" si="7"/>
        <v>37.872262355735955</v>
      </c>
    </row>
    <row r="8" spans="1:14">
      <c r="A8" s="20">
        <v>5</v>
      </c>
      <c r="B8" s="20">
        <v>1.7250000000000001</v>
      </c>
      <c r="C8" s="21">
        <f t="shared" si="0"/>
        <v>0.70471496766912267</v>
      </c>
      <c r="D8" s="20">
        <f t="shared" si="1"/>
        <v>1.5836186465803994</v>
      </c>
      <c r="E8" s="20">
        <f t="shared" si="2"/>
        <v>7.9180932329019971</v>
      </c>
      <c r="F8" s="24">
        <f t="shared" si="3"/>
        <v>46.301362461402618</v>
      </c>
      <c r="G8" s="20"/>
      <c r="H8" s="20"/>
      <c r="I8" s="20">
        <v>5</v>
      </c>
      <c r="J8" s="20">
        <v>2.1</v>
      </c>
      <c r="K8" s="21">
        <f t="shared" si="4"/>
        <v>0.90130398150797142</v>
      </c>
      <c r="L8" s="21">
        <f t="shared" si="5"/>
        <v>1.8927383611667401</v>
      </c>
      <c r="M8" s="21">
        <f t="shared" si="6"/>
        <v>9.4636918058336992</v>
      </c>
      <c r="N8" s="24">
        <f>I8*(I8+1)*2.1/(1+0.0262)^I8</f>
        <v>55.358013577863908</v>
      </c>
    </row>
    <row r="9" spans="1:14">
      <c r="A9" s="20">
        <v>6</v>
      </c>
      <c r="B9" s="20">
        <v>1.7250000000000001</v>
      </c>
      <c r="C9" s="21">
        <f t="shared" si="0"/>
        <v>0.65707689293158289</v>
      </c>
      <c r="D9" s="20">
        <f t="shared" si="1"/>
        <v>1.5567644596514132</v>
      </c>
      <c r="E9" s="20">
        <f t="shared" si="2"/>
        <v>9.3405867579084791</v>
      </c>
      <c r="F9" s="24">
        <f t="shared" si="3"/>
        <v>63.39550850460995</v>
      </c>
      <c r="G9" s="20"/>
      <c r="H9" s="20"/>
      <c r="I9" s="20">
        <v>6</v>
      </c>
      <c r="J9" s="20">
        <v>2.1</v>
      </c>
      <c r="K9" s="21">
        <f t="shared" si="4"/>
        <v>0.88276589765717084</v>
      </c>
      <c r="L9" s="21">
        <f t="shared" si="5"/>
        <v>1.8538083850800589</v>
      </c>
      <c r="M9" s="21">
        <f>J9*I9/(1.021)^I9</f>
        <v>11.122850310480354</v>
      </c>
      <c r="N9" s="24">
        <f t="shared" si="7"/>
        <v>75.522528755612427</v>
      </c>
    </row>
    <row r="10" spans="1:14">
      <c r="A10" s="20">
        <v>7</v>
      </c>
      <c r="B10" s="20">
        <v>1.7250000000000001</v>
      </c>
      <c r="C10" s="21">
        <f t="shared" si="0"/>
        <v>0.61265910762851561</v>
      </c>
      <c r="D10" s="20">
        <f t="shared" si="1"/>
        <v>1.5303656521517945</v>
      </c>
      <c r="E10" s="20">
        <f t="shared" si="2"/>
        <v>10.712559565062563</v>
      </c>
      <c r="F10" s="24">
        <f t="shared" si="3"/>
        <v>82.667329753362623</v>
      </c>
      <c r="G10" s="20"/>
      <c r="H10" s="20"/>
      <c r="I10" s="20">
        <v>7</v>
      </c>
      <c r="J10" s="20">
        <v>2.1</v>
      </c>
      <c r="K10" s="21">
        <f t="shared" si="4"/>
        <v>0.8646091064223026</v>
      </c>
      <c r="L10" s="21">
        <f t="shared" si="5"/>
        <v>1.8156791234868355</v>
      </c>
      <c r="M10" s="21">
        <f t="shared" si="6"/>
        <v>12.709753864407849</v>
      </c>
      <c r="N10" s="24">
        <f t="shared" si="7"/>
        <v>98.125808816491144</v>
      </c>
    </row>
    <row r="11" spans="1:14">
      <c r="A11" s="20">
        <v>8</v>
      </c>
      <c r="B11" s="20">
        <v>1.7250000000000001</v>
      </c>
      <c r="C11" s="21">
        <f t="shared" si="0"/>
        <v>0.5712439231967511</v>
      </c>
      <c r="D11" s="20">
        <f t="shared" si="1"/>
        <v>1.5044145019924253</v>
      </c>
      <c r="E11" s="20">
        <f t="shared" si="2"/>
        <v>12.035316015939403</v>
      </c>
      <c r="F11" s="24">
        <f t="shared" si="3"/>
        <v>103.94774261687232</v>
      </c>
      <c r="G11" s="20"/>
      <c r="H11" s="20"/>
      <c r="I11" s="20">
        <v>8</v>
      </c>
      <c r="J11" s="20">
        <v>2.1</v>
      </c>
      <c r="K11" s="21">
        <f t="shared" si="4"/>
        <v>0.84682576534995369</v>
      </c>
      <c r="L11" s="21">
        <f t="shared" si="5"/>
        <v>1.7783341072349028</v>
      </c>
      <c r="M11" s="21">
        <f t="shared" si="6"/>
        <v>14.226672857879223</v>
      </c>
      <c r="N11" s="24">
        <f t="shared" si="7"/>
        <v>122.94070765214531</v>
      </c>
    </row>
    <row r="12" spans="1:14">
      <c r="A12" s="20">
        <v>9</v>
      </c>
      <c r="B12" s="20">
        <v>1.7250000000000001</v>
      </c>
      <c r="C12" s="21">
        <f t="shared" si="0"/>
        <v>0.53262836661701729</v>
      </c>
      <c r="D12" s="20">
        <f t="shared" si="1"/>
        <v>1.4789034180313838</v>
      </c>
      <c r="E12" s="20">
        <f t="shared" si="2"/>
        <v>13.310130762282455</v>
      </c>
      <c r="F12" s="24">
        <f t="shared" si="3"/>
        <v>127.07547997172657</v>
      </c>
      <c r="G12" s="20"/>
      <c r="H12" s="20"/>
      <c r="I12" s="20">
        <v>9</v>
      </c>
      <c r="J12" s="20">
        <v>2.1</v>
      </c>
      <c r="K12" s="21">
        <f t="shared" si="4"/>
        <v>0.82940819329084614</v>
      </c>
      <c r="L12" s="21">
        <f t="shared" si="5"/>
        <v>1.7417572059107769</v>
      </c>
      <c r="M12" s="21">
        <f t="shared" si="6"/>
        <v>15.675814853196993</v>
      </c>
      <c r="N12" s="24">
        <f t="shared" si="7"/>
        <v>149.75237240808968</v>
      </c>
    </row>
    <row r="13" spans="1:14">
      <c r="A13" s="20">
        <v>10</v>
      </c>
      <c r="B13" s="20">
        <v>1.7250000000000001</v>
      </c>
      <c r="C13" s="21">
        <f t="shared" si="0"/>
        <v>0.49662318565689262</v>
      </c>
      <c r="D13" s="20">
        <f t="shared" si="1"/>
        <v>1.4538249378534125</v>
      </c>
      <c r="E13" s="20">
        <f t="shared" si="2"/>
        <v>14.538249378534125</v>
      </c>
      <c r="F13" s="24">
        <f t="shared" si="3"/>
        <v>151.89679757554927</v>
      </c>
      <c r="G13" s="20"/>
      <c r="H13" s="20"/>
      <c r="I13" s="20">
        <v>10</v>
      </c>
      <c r="J13" s="20">
        <v>2.1</v>
      </c>
      <c r="K13" s="21">
        <f t="shared" si="4"/>
        <v>0.81234886708212162</v>
      </c>
      <c r="L13" s="21">
        <f t="shared" si="5"/>
        <v>1.7059326208724557</v>
      </c>
      <c r="M13" s="21">
        <f t="shared" si="6"/>
        <v>17.059326208724556</v>
      </c>
      <c r="N13" s="24">
        <f t="shared" si="7"/>
        <v>178.35770550347414</v>
      </c>
    </row>
    <row r="14" spans="1:14">
      <c r="A14" s="20">
        <v>11</v>
      </c>
      <c r="B14" s="20">
        <v>1.7250000000000001</v>
      </c>
      <c r="C14" s="21">
        <f t="shared" si="0"/>
        <v>0.46305192135840806</v>
      </c>
      <c r="D14" s="20">
        <f t="shared" si="1"/>
        <v>1.4291717255870364</v>
      </c>
      <c r="E14" s="20">
        <f t="shared" si="2"/>
        <v>15.720888981457399</v>
      </c>
      <c r="F14" s="24">
        <f t="shared" si="3"/>
        <v>178.26519030871313</v>
      </c>
      <c r="G14" s="20"/>
      <c r="H14" s="20"/>
      <c r="I14" s="20">
        <v>11</v>
      </c>
      <c r="J14" s="20">
        <v>2.1</v>
      </c>
      <c r="K14" s="21">
        <f t="shared" si="4"/>
        <v>0.79564041829786647</v>
      </c>
      <c r="L14" s="21">
        <f t="shared" si="5"/>
        <v>1.6708448784255197</v>
      </c>
      <c r="M14" s="21">
        <f t="shared" si="6"/>
        <v>18.379293662680716</v>
      </c>
      <c r="N14" s="24">
        <f t="shared" si="7"/>
        <v>208.56484759712427</v>
      </c>
    </row>
    <row r="15" spans="1:14">
      <c r="A15" s="20">
        <v>12</v>
      </c>
      <c r="B15" s="20">
        <v>101.72499999999999</v>
      </c>
      <c r="C15" s="21">
        <f t="shared" si="0"/>
        <v>0.43175004322462285</v>
      </c>
      <c r="D15" s="20">
        <f t="shared" si="1"/>
        <v>82.850534816639779</v>
      </c>
      <c r="E15" s="20">
        <f>B15*A15/(1.01725)^A15</f>
        <v>994.2064177996773</v>
      </c>
      <c r="F15" s="24">
        <f t="shared" si="3"/>
        <v>206.04111793849927</v>
      </c>
      <c r="G15" s="20"/>
      <c r="H15" s="20"/>
      <c r="I15" s="20">
        <v>12</v>
      </c>
      <c r="J15" s="20">
        <v>2.1</v>
      </c>
      <c r="K15" s="21">
        <f t="shared" si="4"/>
        <v>0.77927563006647083</v>
      </c>
      <c r="L15" s="21">
        <f t="shared" si="5"/>
        <v>1.6364788231395888</v>
      </c>
      <c r="M15" s="21">
        <f t="shared" si="6"/>
        <v>19.637745877675066</v>
      </c>
      <c r="N15" s="24">
        <f t="shared" si="7"/>
        <v>240.19268074295422</v>
      </c>
    </row>
    <row r="16" spans="1:14">
      <c r="A16" s="20"/>
      <c r="B16" s="20"/>
      <c r="C16" s="20"/>
      <c r="D16" s="20"/>
      <c r="E16" s="22">
        <f>SUM(E4:E15)</f>
        <v>1094.1718946875515</v>
      </c>
      <c r="F16" s="25">
        <f>SUM(F4:F15)</f>
        <v>1023.7895636109229</v>
      </c>
      <c r="H16" s="20"/>
      <c r="I16" s="20">
        <v>13</v>
      </c>
      <c r="J16" s="20">
        <v>2.1</v>
      </c>
      <c r="K16" s="21">
        <f t="shared" si="4"/>
        <v>0.76324743395344852</v>
      </c>
      <c r="L16" s="21">
        <f t="shared" si="5"/>
        <v>1.6028196113022419</v>
      </c>
      <c r="M16" s="21">
        <f t="shared" si="6"/>
        <v>20.836654946929144</v>
      </c>
      <c r="N16" s="24">
        <f t="shared" si="7"/>
        <v>273.07035100381336</v>
      </c>
    </row>
    <row r="17" spans="1:14">
      <c r="A17" s="20"/>
      <c r="B17" s="20"/>
      <c r="C17" s="20"/>
      <c r="H17" s="20"/>
      <c r="I17" s="20">
        <v>14</v>
      </c>
      <c r="J17" s="20">
        <v>2.1</v>
      </c>
      <c r="K17" s="21">
        <f t="shared" si="4"/>
        <v>0.74754890690837261</v>
      </c>
      <c r="L17" s="21">
        <f t="shared" si="5"/>
        <v>1.5698527045075825</v>
      </c>
      <c r="M17" s="21">
        <f t="shared" si="6"/>
        <v>21.977937863106156</v>
      </c>
      <c r="N17" s="24">
        <f t="shared" si="7"/>
        <v>307.03680981793923</v>
      </c>
    </row>
    <row r="18" spans="1:14">
      <c r="A18" s="20"/>
      <c r="B18" s="20"/>
      <c r="C18" s="20" t="s">
        <v>31</v>
      </c>
      <c r="D18" s="20">
        <v>94.58</v>
      </c>
      <c r="E18" s="28" t="s">
        <v>16</v>
      </c>
      <c r="F18" s="24">
        <f>F16/D18*(1.0225)^2</f>
        <v>11.317174745612098</v>
      </c>
      <c r="H18" s="20"/>
      <c r="I18" s="20">
        <v>15</v>
      </c>
      <c r="J18" s="20">
        <v>2.1</v>
      </c>
      <c r="K18" s="21">
        <f t="shared" si="4"/>
        <v>0.73217326827460605</v>
      </c>
      <c r="L18" s="21">
        <f t="shared" si="5"/>
        <v>1.5375638633766728</v>
      </c>
      <c r="M18" s="21">
        <f t="shared" si="6"/>
        <v>23.06345795065009</v>
      </c>
      <c r="N18" s="24">
        <f t="shared" si="7"/>
        <v>341.94037343646647</v>
      </c>
    </row>
    <row r="19" spans="1:14">
      <c r="A19" s="20"/>
      <c r="C19" t="s">
        <v>33</v>
      </c>
      <c r="D19" s="20">
        <f>E16/D18</f>
        <v>11.568744921627738</v>
      </c>
      <c r="G19" s="20"/>
      <c r="H19" s="20"/>
      <c r="I19" s="20">
        <v>16</v>
      </c>
      <c r="J19" s="20">
        <v>2.1</v>
      </c>
      <c r="K19" s="21">
        <f t="shared" si="4"/>
        <v>0.71711387686053485</v>
      </c>
      <c r="L19" s="21">
        <f t="shared" si="5"/>
        <v>1.5059391414071233</v>
      </c>
      <c r="M19" s="21">
        <f t="shared" si="6"/>
        <v>24.095026262513972</v>
      </c>
      <c r="N19" s="24">
        <f t="shared" si="7"/>
        <v>377.63829977391879</v>
      </c>
    </row>
    <row r="20" spans="1:14">
      <c r="A20" s="20"/>
      <c r="B20" s="20"/>
      <c r="C20" s="20"/>
      <c r="D20" s="20">
        <f>D19/2</f>
        <v>5.7843724608138691</v>
      </c>
      <c r="E20" s="20"/>
      <c r="F20" s="20"/>
      <c r="G20" s="20"/>
      <c r="H20" s="20"/>
      <c r="I20" s="20">
        <v>17</v>
      </c>
      <c r="J20" s="20">
        <v>2.1</v>
      </c>
      <c r="K20" s="21">
        <f t="shared" si="4"/>
        <v>0.70236422807104293</v>
      </c>
      <c r="L20" s="21">
        <f t="shared" si="5"/>
        <v>1.4749648789491903</v>
      </c>
      <c r="M20" s="21">
        <f t="shared" si="6"/>
        <v>25.074402942136235</v>
      </c>
      <c r="N20" s="24">
        <f t="shared" si="7"/>
        <v>413.99638203630735</v>
      </c>
    </row>
    <row r="21" spans="1:14">
      <c r="A21" s="20"/>
      <c r="B21" s="20"/>
      <c r="C21" s="20"/>
      <c r="D21" s="20"/>
      <c r="E21" s="26"/>
      <c r="F21" s="26"/>
      <c r="G21" s="20"/>
      <c r="H21" s="20"/>
      <c r="I21" s="20">
        <v>18</v>
      </c>
      <c r="J21" s="20">
        <v>2.1</v>
      </c>
      <c r="K21" s="21">
        <f t="shared" si="4"/>
        <v>0.68791795109798548</v>
      </c>
      <c r="L21" s="21">
        <f t="shared" si="5"/>
        <v>1.4446276973057695</v>
      </c>
      <c r="M21" s="21">
        <f t="shared" si="6"/>
        <v>26.003298551503853</v>
      </c>
      <c r="N21" s="24">
        <f t="shared" si="7"/>
        <v>450.88855851340992</v>
      </c>
    </row>
    <row r="22" spans="1:14">
      <c r="A22" s="20"/>
      <c r="B22" s="20"/>
      <c r="C22" s="20"/>
      <c r="D22" s="20"/>
      <c r="E22" s="20"/>
      <c r="F22" s="20"/>
      <c r="G22" s="20"/>
      <c r="H22" s="20"/>
      <c r="I22" s="20">
        <v>19</v>
      </c>
      <c r="J22" s="20">
        <v>2.1</v>
      </c>
      <c r="K22" s="21">
        <f t="shared" si="4"/>
        <v>0.67376880616844803</v>
      </c>
      <c r="L22" s="21">
        <f t="shared" si="5"/>
        <v>1.4149144929537409</v>
      </c>
      <c r="M22" s="21">
        <f t="shared" si="6"/>
        <v>26.883375366121076</v>
      </c>
      <c r="N22" s="24">
        <f t="shared" si="7"/>
        <v>488.19653794301502</v>
      </c>
    </row>
    <row r="23" spans="1:14">
      <c r="A23" s="20"/>
      <c r="B23" s="20"/>
      <c r="C23" s="20"/>
      <c r="D23" s="20"/>
      <c r="E23" s="20"/>
      <c r="F23" s="20"/>
      <c r="G23" s="20"/>
      <c r="H23" s="20"/>
      <c r="I23" s="20">
        <v>20</v>
      </c>
      <c r="J23" s="20">
        <v>2.1</v>
      </c>
      <c r="K23" s="21">
        <f t="shared" si="4"/>
        <v>0.65991068184960644</v>
      </c>
      <c r="L23" s="21">
        <f t="shared" si="5"/>
        <v>1.3858124318841736</v>
      </c>
      <c r="M23" s="21">
        <f t="shared" si="6"/>
        <v>27.716248637683471</v>
      </c>
      <c r="N23" s="24">
        <f t="shared" si="7"/>
        <v>525.8094398754381</v>
      </c>
    </row>
    <row r="24" spans="1:14">
      <c r="A24" s="20"/>
      <c r="B24" s="20"/>
      <c r="C24" s="20"/>
      <c r="D24" s="20"/>
      <c r="E24" s="20"/>
      <c r="F24" s="20"/>
      <c r="G24" s="20"/>
      <c r="H24" s="20"/>
      <c r="I24" s="20">
        <v>21</v>
      </c>
      <c r="J24" s="20">
        <v>2.1</v>
      </c>
      <c r="K24" s="21">
        <f t="shared" si="4"/>
        <v>0.64633759240901723</v>
      </c>
      <c r="L24" s="21">
        <f t="shared" si="5"/>
        <v>1.3573089440589361</v>
      </c>
      <c r="M24" s="21">
        <f t="shared" si="6"/>
        <v>28.503487825237659</v>
      </c>
      <c r="N24" s="24">
        <f t="shared" si="7"/>
        <v>563.62344948643727</v>
      </c>
    </row>
    <row r="25" spans="1:14">
      <c r="A25" s="20"/>
      <c r="B25" s="20"/>
      <c r="C25" s="20"/>
      <c r="D25" s="20"/>
      <c r="E25" s="20"/>
      <c r="F25" s="20"/>
      <c r="G25" s="20"/>
      <c r="H25" s="20"/>
      <c r="I25" s="20">
        <v>22</v>
      </c>
      <c r="J25" s="20">
        <v>2.1</v>
      </c>
      <c r="K25" s="21">
        <f t="shared" si="4"/>
        <v>0.63304367522920391</v>
      </c>
      <c r="L25" s="21">
        <f t="shared" si="5"/>
        <v>1.3293917179813284</v>
      </c>
      <c r="M25" s="21">
        <f t="shared" si="6"/>
        <v>29.246617795589223</v>
      </c>
      <c r="N25" s="24">
        <f t="shared" si="7"/>
        <v>601.54148630583745</v>
      </c>
    </row>
    <row r="26" spans="1:14">
      <c r="A26" s="20"/>
      <c r="B26" s="20"/>
      <c r="C26" s="20"/>
      <c r="D26" s="20"/>
      <c r="E26" s="20"/>
      <c r="F26" s="20"/>
      <c r="G26" s="20"/>
      <c r="H26" s="20"/>
      <c r="I26" s="20">
        <v>23</v>
      </c>
      <c r="J26" s="20">
        <v>2.1</v>
      </c>
      <c r="K26" s="21">
        <f t="shared" si="4"/>
        <v>0.62002318827542013</v>
      </c>
      <c r="L26" s="21">
        <f t="shared" si="5"/>
        <v>1.3020486953783823</v>
      </c>
      <c r="M26" s="21">
        <f t="shared" si="6"/>
        <v>29.947119993702795</v>
      </c>
      <c r="N26" s="24">
        <f t="shared" si="7"/>
        <v>639.47288634769473</v>
      </c>
    </row>
    <row r="27" spans="1:14">
      <c r="A27" s="20"/>
      <c r="B27" s="20"/>
      <c r="C27" s="20"/>
      <c r="D27" s="20"/>
      <c r="E27" s="20"/>
      <c r="F27" s="20"/>
      <c r="G27" s="20"/>
      <c r="H27" s="20"/>
      <c r="I27" s="20">
        <v>24</v>
      </c>
      <c r="J27" s="20">
        <v>2.1</v>
      </c>
      <c r="K27" s="21">
        <f t="shared" si="4"/>
        <v>0.60727050761549495</v>
      </c>
      <c r="L27" s="21">
        <f t="shared" si="5"/>
        <v>1.2752680659925393</v>
      </c>
      <c r="M27" s="21">
        <f t="shared" si="6"/>
        <v>30.606433583820948</v>
      </c>
      <c r="N27" s="24">
        <f t="shared" si="7"/>
        <v>677.33309714575387</v>
      </c>
    </row>
    <row r="28" spans="1:14">
      <c r="A28" s="20"/>
      <c r="B28" s="20"/>
      <c r="C28" s="20"/>
      <c r="D28" s="20"/>
      <c r="E28" s="20"/>
      <c r="F28" s="20"/>
      <c r="G28" s="20"/>
      <c r="H28" s="20"/>
      <c r="I28" s="20">
        <v>25</v>
      </c>
      <c r="J28" s="20">
        <v>2.1</v>
      </c>
      <c r="K28" s="21">
        <f t="shared" si="4"/>
        <v>0.59478012499069055</v>
      </c>
      <c r="L28" s="21">
        <f t="shared" si="5"/>
        <v>1.2490382624804501</v>
      </c>
      <c r="M28" s="21">
        <f t="shared" si="6"/>
        <v>31.225956562011252</v>
      </c>
      <c r="N28" s="24">
        <f t="shared" si="7"/>
        <v>715.04338521526029</v>
      </c>
    </row>
    <row r="29" spans="1:14">
      <c r="A29" s="20"/>
      <c r="B29" s="20"/>
      <c r="C29" s="20"/>
      <c r="D29" s="20"/>
      <c r="E29" s="20"/>
      <c r="F29" s="20"/>
      <c r="G29" s="20"/>
      <c r="H29" s="20"/>
      <c r="I29" s="20">
        <v>26</v>
      </c>
      <c r="J29" s="20">
        <v>2.1</v>
      </c>
      <c r="K29" s="21">
        <f t="shared" si="4"/>
        <v>0.58254664543652357</v>
      </c>
      <c r="L29" s="21">
        <f t="shared" si="5"/>
        <v>1.2233479554166995</v>
      </c>
      <c r="M29" s="21">
        <f t="shared" si="6"/>
        <v>31.80704684083419</v>
      </c>
      <c r="N29" s="24">
        <f t="shared" si="7"/>
        <v>752.53055547893302</v>
      </c>
    </row>
    <row r="30" spans="1:14">
      <c r="A30" s="20"/>
      <c r="B30" s="20"/>
      <c r="C30" s="20"/>
      <c r="D30" s="20"/>
      <c r="E30" s="20"/>
      <c r="F30" s="20"/>
      <c r="G30" s="20"/>
      <c r="H30" s="20"/>
      <c r="I30" s="20">
        <v>27</v>
      </c>
      <c r="J30" s="20">
        <v>2.1</v>
      </c>
      <c r="K30" s="21">
        <f t="shared" si="4"/>
        <v>0.57056478495252061</v>
      </c>
      <c r="L30" s="21">
        <f t="shared" si="5"/>
        <v>1.1981860484002933</v>
      </c>
      <c r="M30" s="21">
        <f t="shared" si="6"/>
        <v>32.351023306807917</v>
      </c>
      <c r="N30" s="24">
        <f t="shared" si="7"/>
        <v>789.7266822110746</v>
      </c>
    </row>
    <row r="31" spans="1:14">
      <c r="A31" s="20"/>
      <c r="B31" s="20"/>
      <c r="C31" s="20"/>
      <c r="D31" s="20"/>
      <c r="E31" s="20"/>
      <c r="F31" s="20"/>
      <c r="G31" s="20"/>
      <c r="H31" s="20"/>
      <c r="I31" s="20">
        <v>28</v>
      </c>
      <c r="J31" s="20">
        <v>2.1</v>
      </c>
      <c r="K31" s="21">
        <f t="shared" si="4"/>
        <v>0.55882936821990281</v>
      </c>
      <c r="L31" s="21">
        <f t="shared" si="5"/>
        <v>1.173541673261796</v>
      </c>
      <c r="M31" s="21">
        <f t="shared" si="6"/>
        <v>32.859166851330286</v>
      </c>
      <c r="N31" s="24">
        <f t="shared" si="7"/>
        <v>826.56885106943128</v>
      </c>
    </row>
    <row r="32" spans="1:14">
      <c r="A32" s="20"/>
      <c r="B32" s="20"/>
      <c r="C32" s="20"/>
      <c r="D32" s="20"/>
      <c r="E32" s="20"/>
      <c r="F32" s="20"/>
      <c r="G32" s="20"/>
      <c r="H32" s="20"/>
      <c r="I32" s="20">
        <v>29</v>
      </c>
      <c r="J32" s="20">
        <v>2.1</v>
      </c>
      <c r="K32" s="21">
        <f t="shared" si="4"/>
        <v>0.54733532636621252</v>
      </c>
      <c r="L32" s="21">
        <f t="shared" si="5"/>
        <v>1.1494041853690462</v>
      </c>
      <c r="M32" s="21">
        <f t="shared" si="6"/>
        <v>33.332721375702342</v>
      </c>
      <c r="N32" s="24">
        <f t="shared" si="7"/>
        <v>862.99891179952886</v>
      </c>
    </row>
    <row r="33" spans="1:14">
      <c r="A33" s="20"/>
      <c r="B33" s="20"/>
      <c r="C33" s="20"/>
      <c r="D33" s="20"/>
      <c r="E33" s="20"/>
      <c r="F33" s="20"/>
      <c r="G33" s="20"/>
      <c r="H33" s="20"/>
      <c r="I33" s="20">
        <v>30</v>
      </c>
      <c r="J33" s="20">
        <v>2.1</v>
      </c>
      <c r="K33" s="21">
        <f t="shared" si="4"/>
        <v>0.53607769477591816</v>
      </c>
      <c r="L33" s="21">
        <f t="shared" si="5"/>
        <v>1.1257631590294281</v>
      </c>
      <c r="M33" s="21">
        <f t="shared" si="6"/>
        <v>33.772894770882843</v>
      </c>
      <c r="N33" s="24">
        <f t="shared" si="7"/>
        <v>898.96324121080761</v>
      </c>
    </row>
    <row r="34" spans="1:14">
      <c r="A34" s="20"/>
      <c r="B34" s="20"/>
      <c r="C34" s="20"/>
      <c r="D34" s="20"/>
      <c r="E34" s="20"/>
      <c r="F34" s="20"/>
      <c r="G34" s="20"/>
      <c r="H34" s="20"/>
      <c r="I34" s="20">
        <v>31</v>
      </c>
      <c r="J34" s="20">
        <v>2.1</v>
      </c>
      <c r="K34" s="21">
        <f t="shared" si="4"/>
        <v>0.52505161094605124</v>
      </c>
      <c r="L34" s="21">
        <f t="shared" si="5"/>
        <v>1.1026083829867075</v>
      </c>
      <c r="M34" s="21">
        <f t="shared" si="6"/>
        <v>34.180859872587938</v>
      </c>
      <c r="N34" s="24">
        <f t="shared" si="7"/>
        <v>934.41251603799924</v>
      </c>
    </row>
    <row r="35" spans="1:14">
      <c r="A35" s="20"/>
      <c r="B35" s="20"/>
      <c r="C35" s="20"/>
      <c r="D35" s="20"/>
      <c r="E35" s="20"/>
      <c r="F35" s="20"/>
      <c r="G35" s="20"/>
      <c r="H35" s="20"/>
      <c r="I35" s="20">
        <v>32</v>
      </c>
      <c r="J35" s="20">
        <v>2.1</v>
      </c>
      <c r="K35" s="21">
        <f t="shared" si="4"/>
        <v>0.51425231238594638</v>
      </c>
      <c r="L35" s="21">
        <f t="shared" si="5"/>
        <v>1.0799298560104873</v>
      </c>
      <c r="M35" s="21">
        <f t="shared" si="6"/>
        <v>34.557755392335594</v>
      </c>
      <c r="N35" s="24">
        <f t="shared" si="7"/>
        <v>969.3014953148155</v>
      </c>
    </row>
    <row r="36" spans="1:14">
      <c r="A36" s="20"/>
      <c r="B36" s="20"/>
      <c r="C36" s="20"/>
      <c r="D36" s="20"/>
      <c r="E36" s="20"/>
      <c r="F36" s="20"/>
      <c r="G36" s="20"/>
      <c r="H36" s="20"/>
      <c r="I36" s="20">
        <v>33</v>
      </c>
      <c r="J36" s="20">
        <v>2.1</v>
      </c>
      <c r="K36" s="21">
        <f t="shared" si="4"/>
        <v>0.50367513456018254</v>
      </c>
      <c r="L36" s="21">
        <f t="shared" si="5"/>
        <v>1.0577177825763835</v>
      </c>
      <c r="M36" s="21">
        <f t="shared" si="6"/>
        <v>34.904686825020654</v>
      </c>
      <c r="N36" s="24">
        <f t="shared" si="7"/>
        <v>1003.5888119002062</v>
      </c>
    </row>
    <row r="37" spans="1:14">
      <c r="A37" s="20"/>
      <c r="B37" s="20"/>
      <c r="C37" s="20"/>
      <c r="D37" s="20"/>
      <c r="E37" s="20"/>
      <c r="F37" s="20"/>
      <c r="G37" s="20"/>
      <c r="H37" s="20"/>
      <c r="I37" s="20">
        <v>34</v>
      </c>
      <c r="J37" s="20">
        <v>2.1</v>
      </c>
      <c r="K37" s="21">
        <f t="shared" si="4"/>
        <v>0.49331550887383219</v>
      </c>
      <c r="L37" s="21">
        <f t="shared" si="5"/>
        <v>1.0359625686350478</v>
      </c>
      <c r="M37" s="21">
        <f t="shared" si="6"/>
        <v>35.222727333591621</v>
      </c>
      <c r="N37" s="24">
        <f t="shared" si="7"/>
        <v>1037.2367728101681</v>
      </c>
    </row>
    <row r="38" spans="1:14">
      <c r="A38" s="20"/>
      <c r="B38" s="20"/>
      <c r="C38" s="20"/>
      <c r="D38" s="20"/>
      <c r="E38" s="20"/>
      <c r="F38" s="20"/>
      <c r="G38" s="20"/>
      <c r="H38" s="20"/>
      <c r="I38" s="20">
        <v>35</v>
      </c>
      <c r="J38" s="20">
        <v>2.1</v>
      </c>
      <c r="K38" s="21">
        <f t="shared" si="4"/>
        <v>0.48316896069915005</v>
      </c>
      <c r="L38" s="21">
        <f t="shared" si="5"/>
        <v>1.0146548174682151</v>
      </c>
      <c r="M38" s="21">
        <f t="shared" si="6"/>
        <v>35.512918611387526</v>
      </c>
      <c r="N38" s="24">
        <f t="shared" si="7"/>
        <v>1070.2111680203964</v>
      </c>
    </row>
    <row r="39" spans="1:14">
      <c r="A39" s="20"/>
      <c r="B39" s="20"/>
      <c r="C39" s="20"/>
      <c r="D39" s="20"/>
      <c r="E39" s="20"/>
      <c r="F39" s="20"/>
      <c r="G39" s="20"/>
      <c r="H39" s="20"/>
      <c r="I39" s="20">
        <v>36</v>
      </c>
      <c r="J39" s="20">
        <v>2.1</v>
      </c>
      <c r="K39" s="21">
        <f t="shared" si="4"/>
        <v>0.4732311074428503</v>
      </c>
      <c r="L39" s="21">
        <f t="shared" si="5"/>
        <v>0.99378532562998567</v>
      </c>
      <c r="M39" s="21">
        <f t="shared" si="6"/>
        <v>35.776271722679482</v>
      </c>
      <c r="N39" s="24">
        <f t="shared" si="7"/>
        <v>1102.4810874169521</v>
      </c>
    </row>
    <row r="40" spans="1:14">
      <c r="A40" s="20"/>
      <c r="B40" s="20"/>
      <c r="C40" s="20"/>
      <c r="D40" s="20"/>
      <c r="E40" s="20"/>
      <c r="F40" s="20"/>
      <c r="G40" s="20"/>
      <c r="H40" s="20"/>
      <c r="I40" s="20">
        <v>37</v>
      </c>
      <c r="J40" s="20">
        <v>2.1</v>
      </c>
      <c r="K40" s="21">
        <f t="shared" si="4"/>
        <v>0.46349765665313453</v>
      </c>
      <c r="L40" s="21">
        <f t="shared" si="5"/>
        <v>0.97334507897158262</v>
      </c>
      <c r="M40" s="21">
        <f t="shared" si="6"/>
        <v>36.013767921948556</v>
      </c>
      <c r="N40" s="24">
        <f t="shared" si="7"/>
        <v>1134.0187455836035</v>
      </c>
    </row>
    <row r="41" spans="1:14">
      <c r="A41" s="20"/>
      <c r="B41" s="20"/>
      <c r="C41" s="20"/>
      <c r="D41" s="20"/>
      <c r="E41" s="20"/>
      <c r="F41" s="20"/>
      <c r="G41" s="20"/>
      <c r="H41" s="20"/>
      <c r="I41" s="20">
        <v>38</v>
      </c>
      <c r="J41" s="20">
        <v>2.1</v>
      </c>
      <c r="K41" s="21">
        <f t="shared" si="4"/>
        <v>0.45396440416565581</v>
      </c>
      <c r="L41" s="21">
        <f t="shared" si="5"/>
        <v>0.95332524874787727</v>
      </c>
      <c r="M41" s="21">
        <f t="shared" si="6"/>
        <v>36.226359452419331</v>
      </c>
      <c r="N41" s="24">
        <f t="shared" si="7"/>
        <v>1164.7993141255995</v>
      </c>
    </row>
    <row r="42" spans="1:14">
      <c r="A42" s="20"/>
      <c r="B42" s="20"/>
      <c r="C42" s="20"/>
      <c r="D42" s="20"/>
      <c r="E42" s="20"/>
      <c r="F42" s="20"/>
      <c r="G42" s="20"/>
      <c r="H42" s="20"/>
      <c r="I42" s="20">
        <v>39</v>
      </c>
      <c r="J42" s="20">
        <v>2.1</v>
      </c>
      <c r="K42" s="21">
        <f t="shared" si="4"/>
        <v>0.44462723228761591</v>
      </c>
      <c r="L42" s="21">
        <f t="shared" si="5"/>
        <v>0.93371718780399349</v>
      </c>
      <c r="M42" s="21">
        <f t="shared" si="6"/>
        <v>36.41497032435575</v>
      </c>
      <c r="N42" s="24">
        <f t="shared" si="7"/>
        <v>1194.8007612403444</v>
      </c>
    </row>
    <row r="43" spans="1:14">
      <c r="A43" s="20"/>
      <c r="B43" s="20"/>
      <c r="C43" s="20"/>
      <c r="D43" s="20"/>
      <c r="E43" s="20"/>
      <c r="F43" s="20"/>
      <c r="G43" s="20"/>
      <c r="H43" s="20"/>
      <c r="I43" s="20">
        <v>40</v>
      </c>
      <c r="J43" s="20">
        <v>2.1</v>
      </c>
      <c r="K43" s="21">
        <f t="shared" si="4"/>
        <v>0.4354821080192125</v>
      </c>
      <c r="L43" s="21">
        <f t="shared" si="5"/>
        <v>0.91451242684034628</v>
      </c>
      <c r="M43" s="21">
        <f t="shared" si="6"/>
        <v>36.580497073613849</v>
      </c>
      <c r="N43" s="24">
        <f t="shared" si="7"/>
        <v>1224.0036982558036</v>
      </c>
    </row>
    <row r="44" spans="1:14">
      <c r="A44" s="20"/>
      <c r="B44" s="20"/>
      <c r="C44" s="20"/>
      <c r="D44" s="20"/>
      <c r="E44" s="20"/>
      <c r="F44" s="20"/>
      <c r="G44" s="20"/>
      <c r="H44" s="20"/>
      <c r="I44" s="20">
        <v>41</v>
      </c>
      <c r="J44" s="20">
        <v>2.1</v>
      </c>
      <c r="K44" s="21">
        <f t="shared" si="4"/>
        <v>0.42652508131166761</v>
      </c>
      <c r="L44" s="21">
        <f t="shared" si="5"/>
        <v>0.89570267075450194</v>
      </c>
      <c r="M44" s="21">
        <f t="shared" si="6"/>
        <v>36.723809500934586</v>
      </c>
      <c r="N44" s="24">
        <f t="shared" si="7"/>
        <v>1252.3912328674664</v>
      </c>
    </row>
    <row r="45" spans="1:14">
      <c r="A45" s="20"/>
      <c r="B45" s="20"/>
      <c r="C45" s="20"/>
      <c r="D45" s="20"/>
      <c r="E45" s="20"/>
      <c r="F45" s="20"/>
      <c r="G45" s="20"/>
      <c r="H45" s="20"/>
      <c r="I45" s="20">
        <v>42</v>
      </c>
      <c r="J45" s="20">
        <v>2.1</v>
      </c>
      <c r="K45" s="21">
        <f t="shared" si="4"/>
        <v>0.41775228336108483</v>
      </c>
      <c r="L45" s="21">
        <f t="shared" si="5"/>
        <v>0.87727979505827813</v>
      </c>
      <c r="M45" s="21">
        <f t="shared" si="6"/>
        <v>36.845751392447681</v>
      </c>
      <c r="N45" s="24">
        <f t="shared" si="7"/>
        <v>1279.948828814358</v>
      </c>
    </row>
    <row r="46" spans="1:14">
      <c r="A46" s="20"/>
      <c r="B46" s="20"/>
      <c r="C46" s="20"/>
      <c r="D46" s="20"/>
      <c r="E46" s="20"/>
      <c r="F46" s="20"/>
      <c r="G46" s="20"/>
      <c r="H46" s="20"/>
      <c r="I46" s="20">
        <v>43</v>
      </c>
      <c r="J46" s="20">
        <v>2.1</v>
      </c>
      <c r="K46" s="21">
        <f t="shared" si="4"/>
        <v>0.40915992493739944</v>
      </c>
      <c r="L46" s="21">
        <f t="shared" si="5"/>
        <v>0.85923584236853889</v>
      </c>
      <c r="M46" s="21">
        <f t="shared" si="6"/>
        <v>36.947141221847168</v>
      </c>
      <c r="N46" s="24">
        <f t="shared" si="7"/>
        <v>1306.6641717439222</v>
      </c>
    </row>
    <row r="47" spans="1:14">
      <c r="A47" s="20"/>
      <c r="B47" s="20"/>
      <c r="C47" s="20"/>
      <c r="D47" s="20"/>
      <c r="E47" s="20"/>
      <c r="F47" s="20"/>
      <c r="G47" s="20"/>
      <c r="H47" s="20"/>
      <c r="I47" s="20">
        <v>44</v>
      </c>
      <c r="J47" s="20">
        <v>2.1</v>
      </c>
      <c r="K47" s="21">
        <f t="shared" si="4"/>
        <v>0.4007442947476979</v>
      </c>
      <c r="L47" s="21">
        <f t="shared" si="5"/>
        <v>0.84156301897016572</v>
      </c>
      <c r="M47" s="21">
        <f t="shared" si="6"/>
        <v>37.028772834687288</v>
      </c>
      <c r="N47" s="24">
        <f t="shared" si="7"/>
        <v>1332.5270410246087</v>
      </c>
    </row>
    <row r="48" spans="1:14">
      <c r="A48" s="20"/>
      <c r="B48" s="20"/>
      <c r="C48" s="20"/>
      <c r="D48" s="20"/>
      <c r="E48" s="20"/>
      <c r="F48" s="20"/>
      <c r="G48" s="20"/>
      <c r="H48" s="20"/>
      <c r="I48" s="20">
        <v>45</v>
      </c>
      <c r="J48" s="20">
        <v>2.1</v>
      </c>
      <c r="K48" s="21">
        <f t="shared" si="4"/>
        <v>0.39250175783320074</v>
      </c>
      <c r="L48" s="21">
        <f t="shared" si="5"/>
        <v>0.8242536914497216</v>
      </c>
      <c r="M48" s="21">
        <f t="shared" si="6"/>
        <v>37.091416115237472</v>
      </c>
      <c r="N48" s="24">
        <f t="shared" si="7"/>
        <v>1357.5291872737018</v>
      </c>
    </row>
    <row r="49" spans="1:14">
      <c r="A49" s="20"/>
      <c r="B49" s="20"/>
      <c r="C49" s="20"/>
      <c r="D49" s="20"/>
      <c r="E49" s="20"/>
      <c r="F49" s="20"/>
      <c r="G49" s="20"/>
      <c r="H49" s="20"/>
      <c r="I49" s="20">
        <v>46</v>
      </c>
      <c r="J49" s="20">
        <v>2.1</v>
      </c>
      <c r="K49" s="21">
        <f t="shared" si="4"/>
        <v>0.38442875399921717</v>
      </c>
      <c r="L49" s="21">
        <f t="shared" si="5"/>
        <v>0.80730038339835608</v>
      </c>
      <c r="M49" s="21">
        <f t="shared" si="6"/>
        <v>37.135817636324383</v>
      </c>
      <c r="N49" s="24">
        <f t="shared" si="7"/>
        <v>1381.6642153763394</v>
      </c>
    </row>
    <row r="50" spans="1:14">
      <c r="A50" s="20"/>
      <c r="B50" s="20"/>
      <c r="C50" s="20"/>
      <c r="D50" s="20"/>
      <c r="E50" s="20"/>
      <c r="F50" s="20"/>
      <c r="G50" s="20"/>
      <c r="H50" s="20"/>
      <c r="I50" s="20">
        <v>47</v>
      </c>
      <c r="J50" s="20">
        <v>2.1</v>
      </c>
      <c r="K50" s="21">
        <f t="shared" si="4"/>
        <v>0.37652179627739202</v>
      </c>
      <c r="L50" s="21">
        <f t="shared" si="5"/>
        <v>0.79069577218252329</v>
      </c>
      <c r="M50" s="21">
        <f t="shared" si="6"/>
        <v>37.162701292578589</v>
      </c>
      <c r="N50" s="24">
        <f t="shared" si="7"/>
        <v>1404.9274727797847</v>
      </c>
    </row>
    <row r="51" spans="1:14">
      <c r="A51" s="20"/>
      <c r="B51" s="20"/>
      <c r="C51" s="20"/>
      <c r="D51" s="20"/>
      <c r="E51" s="20"/>
      <c r="F51" s="20"/>
      <c r="G51" s="20"/>
      <c r="H51" s="20"/>
      <c r="I51" s="20">
        <v>48</v>
      </c>
      <c r="J51" s="20">
        <v>2.1</v>
      </c>
      <c r="K51" s="21">
        <f t="shared" si="4"/>
        <v>0.36877746941958084</v>
      </c>
      <c r="L51" s="21">
        <f t="shared" si="5"/>
        <v>0.77443268578111979</v>
      </c>
      <c r="M51" s="21">
        <f t="shared" si="6"/>
        <v>37.172768917493755</v>
      </c>
      <c r="N51" s="24">
        <f t="shared" si="7"/>
        <v>1427.3159428548508</v>
      </c>
    </row>
    <row r="52" spans="1:14">
      <c r="A52" s="20"/>
      <c r="B52" s="20"/>
      <c r="C52" s="20"/>
      <c r="D52" s="20"/>
      <c r="E52" s="20"/>
      <c r="F52" s="20"/>
      <c r="G52" s="20"/>
      <c r="H52" s="20"/>
      <c r="I52" s="20">
        <v>49</v>
      </c>
      <c r="J52" s="20">
        <v>2.1</v>
      </c>
      <c r="K52" s="21">
        <f t="shared" si="4"/>
        <v>0.36119242842270405</v>
      </c>
      <c r="L52" s="21">
        <f t="shared" si="5"/>
        <v>0.75850409968767851</v>
      </c>
      <c r="M52" s="21">
        <f t="shared" si="6"/>
        <v>37.166700884696247</v>
      </c>
      <c r="N52" s="24">
        <f t="shared" si="7"/>
        <v>1448.8281431239552</v>
      </c>
    </row>
    <row r="53" spans="1:14">
      <c r="A53" s="20"/>
      <c r="B53" s="20"/>
      <c r="C53" s="20"/>
      <c r="D53" s="20"/>
      <c r="E53" s="20"/>
      <c r="F53" s="20"/>
      <c r="G53" s="20"/>
      <c r="H53" s="20"/>
      <c r="I53" s="20">
        <v>50</v>
      </c>
      <c r="J53" s="20">
        <v>2.1</v>
      </c>
      <c r="K53" s="21">
        <f t="shared" si="4"/>
        <v>0.35376339708394144</v>
      </c>
      <c r="L53" s="21">
        <f t="shared" si="5"/>
        <v>0.74290313387627704</v>
      </c>
      <c r="M53" s="21">
        <f t="shared" si="6"/>
        <v>37.145156693813853</v>
      </c>
      <c r="N53" s="24">
        <f t="shared" si="7"/>
        <v>1469.4640281625839</v>
      </c>
    </row>
    <row r="54" spans="1:14">
      <c r="A54" s="20"/>
      <c r="B54" s="20"/>
      <c r="C54" s="20"/>
      <c r="D54" s="20"/>
      <c r="E54" s="20"/>
      <c r="F54" s="20"/>
      <c r="G54" s="20"/>
      <c r="H54" s="20"/>
      <c r="I54" s="20">
        <v>51</v>
      </c>
      <c r="J54" s="20">
        <v>2.1</v>
      </c>
      <c r="K54" s="21">
        <f t="shared" si="4"/>
        <v>0.34648716658564294</v>
      </c>
      <c r="L54" s="21">
        <f t="shared" si="5"/>
        <v>0.72762304982985015</v>
      </c>
      <c r="M54" s="21">
        <f t="shared" si="6"/>
        <v>37.108775541322359</v>
      </c>
      <c r="N54" s="24">
        <f t="shared" si="7"/>
        <v>1489.2248969880011</v>
      </c>
    </row>
    <row r="55" spans="1:14">
      <c r="A55" s="20"/>
      <c r="B55" s="20"/>
      <c r="C55" s="20"/>
      <c r="D55" s="20"/>
      <c r="E55" s="20"/>
      <c r="F55" s="20"/>
      <c r="G55" s="20"/>
      <c r="H55" s="20"/>
      <c r="I55" s="20">
        <v>52</v>
      </c>
      <c r="J55" s="20">
        <v>102.1</v>
      </c>
      <c r="K55" s="21">
        <f t="shared" si="4"/>
        <v>0.33936059410934671</v>
      </c>
      <c r="L55" s="21">
        <f t="shared" si="5"/>
        <v>34.648716658564297</v>
      </c>
      <c r="M55" s="21">
        <f t="shared" si="6"/>
        <v>1801.7332662453434</v>
      </c>
      <c r="N55" s="24">
        <f t="shared" si="7"/>
        <v>1508.1133047558683</v>
      </c>
    </row>
    <row r="56" spans="1:14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3">
        <f>SUM(M4:M55)</f>
        <v>3211.9658734017266</v>
      </c>
      <c r="N56" s="25">
        <f>SUM(N4:N55)</f>
        <v>39205.895371151906</v>
      </c>
    </row>
    <row r="58" spans="1:14">
      <c r="J58" t="s">
        <v>31</v>
      </c>
      <c r="K58" s="20">
        <v>85.4</v>
      </c>
      <c r="M58" t="s">
        <v>16</v>
      </c>
      <c r="N58" s="7">
        <f>N56/K58*(1.0262)^2</f>
        <v>483.45663680818313</v>
      </c>
    </row>
    <row r="59" spans="1:14">
      <c r="J59" t="s">
        <v>33</v>
      </c>
      <c r="K59">
        <f>M56/K58</f>
        <v>37.610841608919515</v>
      </c>
    </row>
    <row r="60" spans="1:14">
      <c r="K60">
        <f>K59/2</f>
        <v>18.805420804459757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45AB-8CC0-4FD1-A660-CA00BD2ECCE9}">
  <dimension ref="A1:L29"/>
  <sheetViews>
    <sheetView workbookViewId="0">
      <selection activeCell="K16" sqref="K16"/>
    </sheetView>
  </sheetViews>
  <sheetFormatPr defaultRowHeight="14.4"/>
  <cols>
    <col min="1" max="1" width="16.109375" bestFit="1" customWidth="1"/>
    <col min="2" max="2" width="16.6640625" bestFit="1" customWidth="1"/>
    <col min="5" max="5" width="11.109375" bestFit="1" customWidth="1"/>
    <col min="6" max="6" width="11" bestFit="1" customWidth="1"/>
    <col min="10" max="10" width="16.6640625" bestFit="1" customWidth="1"/>
    <col min="11" max="11" width="9.109375" customWidth="1"/>
    <col min="12" max="12" width="9.5546875" bestFit="1" customWidth="1"/>
  </cols>
  <sheetData>
    <row r="1" spans="1:12">
      <c r="A1" t="s">
        <v>48</v>
      </c>
    </row>
    <row r="2" spans="1:12">
      <c r="A2" t="s">
        <v>3</v>
      </c>
    </row>
    <row r="3" spans="1:12">
      <c r="A3" t="s">
        <v>45</v>
      </c>
      <c r="B3" t="s">
        <v>46</v>
      </c>
      <c r="C3" t="s">
        <v>13</v>
      </c>
      <c r="D3" t="s">
        <v>43</v>
      </c>
      <c r="E3" t="s">
        <v>42</v>
      </c>
      <c r="F3" t="s">
        <v>41</v>
      </c>
      <c r="G3" t="s">
        <v>44</v>
      </c>
      <c r="J3" t="s">
        <v>8</v>
      </c>
      <c r="K3" t="s">
        <v>13</v>
      </c>
    </row>
    <row r="4" spans="1:12">
      <c r="A4" s="30">
        <v>0.03</v>
      </c>
      <c r="B4" s="31">
        <f>A4/2</f>
        <v>1.4999999999999999E-2</v>
      </c>
      <c r="C4">
        <v>121.03</v>
      </c>
      <c r="D4">
        <v>100</v>
      </c>
      <c r="E4" s="15">
        <v>2.725E-2</v>
      </c>
      <c r="F4">
        <f>E4*D4</f>
        <v>2.7250000000000001</v>
      </c>
      <c r="G4">
        <v>20</v>
      </c>
      <c r="J4" s="31">
        <f>A4/2</f>
        <v>1.4999999999999999E-2</v>
      </c>
      <c r="K4">
        <v>121.03</v>
      </c>
      <c r="L4" t="s">
        <v>3</v>
      </c>
    </row>
    <row r="5" spans="1:12">
      <c r="A5" s="15">
        <v>4.4999999999999998E-2</v>
      </c>
      <c r="B5" s="31">
        <f t="shared" ref="B5:B7" si="0">A5/2</f>
        <v>2.2499999999999999E-2</v>
      </c>
      <c r="C5">
        <v>106.75</v>
      </c>
      <c r="D5">
        <v>100</v>
      </c>
      <c r="E5" s="15">
        <v>2.725E-2</v>
      </c>
      <c r="F5">
        <f t="shared" ref="F5:F7" si="1">E5*D5</f>
        <v>2.7250000000000001</v>
      </c>
      <c r="G5">
        <v>20</v>
      </c>
      <c r="J5" s="31">
        <f t="shared" ref="J5:J7" si="2">A5/2</f>
        <v>2.2499999999999999E-2</v>
      </c>
      <c r="K5">
        <v>106.75</v>
      </c>
      <c r="L5" t="s">
        <v>3</v>
      </c>
    </row>
    <row r="6" spans="1:12">
      <c r="A6" s="30">
        <v>0.1</v>
      </c>
      <c r="B6" s="31">
        <f t="shared" si="0"/>
        <v>0.05</v>
      </c>
      <c r="C6">
        <v>79.84</v>
      </c>
      <c r="D6">
        <v>100</v>
      </c>
      <c r="E6" s="15">
        <v>2.725E-2</v>
      </c>
      <c r="F6">
        <f t="shared" si="1"/>
        <v>2.7250000000000001</v>
      </c>
      <c r="G6">
        <v>12</v>
      </c>
      <c r="J6" s="31">
        <f t="shared" si="2"/>
        <v>0.05</v>
      </c>
      <c r="K6">
        <v>79.84</v>
      </c>
      <c r="L6" t="s">
        <v>3</v>
      </c>
    </row>
    <row r="7" spans="1:12">
      <c r="A7" s="30">
        <v>0.15</v>
      </c>
      <c r="B7" s="31">
        <f t="shared" si="0"/>
        <v>7.4999999999999997E-2</v>
      </c>
      <c r="C7">
        <v>37.81</v>
      </c>
      <c r="D7">
        <v>100</v>
      </c>
      <c r="E7" s="15">
        <v>2.725E-2</v>
      </c>
      <c r="F7">
        <f t="shared" si="1"/>
        <v>2.7250000000000001</v>
      </c>
      <c r="G7">
        <v>52</v>
      </c>
      <c r="J7" s="31">
        <f t="shared" si="2"/>
        <v>7.4999999999999997E-2</v>
      </c>
      <c r="K7">
        <v>37.81</v>
      </c>
      <c r="L7" t="s">
        <v>3</v>
      </c>
    </row>
    <row r="8" spans="1:12">
      <c r="A8" s="30"/>
      <c r="B8" s="30"/>
    </row>
    <row r="9" spans="1:12">
      <c r="J9" s="32">
        <f>A12/2</f>
        <v>0.01</v>
      </c>
      <c r="K9">
        <v>127.07</v>
      </c>
      <c r="L9" t="s">
        <v>4</v>
      </c>
    </row>
    <row r="10" spans="1:12">
      <c r="A10" t="s">
        <v>4</v>
      </c>
      <c r="J10" s="32">
        <f t="shared" ref="J10:J12" si="3">A13/2</f>
        <v>2.75E-2</v>
      </c>
      <c r="K10">
        <v>95.45</v>
      </c>
      <c r="L10" t="s">
        <v>4</v>
      </c>
    </row>
    <row r="11" spans="1:12">
      <c r="A11" t="s">
        <v>45</v>
      </c>
      <c r="B11" t="s">
        <v>46</v>
      </c>
      <c r="C11" t="s">
        <v>13</v>
      </c>
      <c r="D11" t="s">
        <v>43</v>
      </c>
      <c r="E11" t="s">
        <v>42</v>
      </c>
      <c r="F11" t="s">
        <v>41</v>
      </c>
      <c r="G11" t="s">
        <v>44</v>
      </c>
      <c r="J11" s="32">
        <f t="shared" si="3"/>
        <v>3.7499999999999999E-2</v>
      </c>
      <c r="K11">
        <v>87.66</v>
      </c>
      <c r="L11" t="s">
        <v>4</v>
      </c>
    </row>
    <row r="12" spans="1:12">
      <c r="A12" s="30">
        <v>0.02</v>
      </c>
      <c r="B12" s="32">
        <f>A12/2</f>
        <v>0.01</v>
      </c>
      <c r="C12">
        <v>127.07</v>
      </c>
      <c r="D12">
        <v>100</v>
      </c>
      <c r="E12" s="15">
        <v>2.5000000000000001E-2</v>
      </c>
      <c r="F12">
        <f>E12*D12</f>
        <v>2.5</v>
      </c>
      <c r="G12">
        <v>20</v>
      </c>
      <c r="J12" s="32">
        <f t="shared" si="3"/>
        <v>6.5000000000000002E-2</v>
      </c>
      <c r="K12" s="7">
        <v>40.79</v>
      </c>
      <c r="L12" t="s">
        <v>4</v>
      </c>
    </row>
    <row r="13" spans="1:12">
      <c r="A13" s="15">
        <v>5.5E-2</v>
      </c>
      <c r="B13" s="32">
        <f t="shared" ref="B13:B15" si="4">A13/2</f>
        <v>2.75E-2</v>
      </c>
      <c r="C13">
        <v>95.45</v>
      </c>
      <c r="D13">
        <v>100</v>
      </c>
      <c r="E13" s="15">
        <v>2.5000000000000001E-2</v>
      </c>
      <c r="F13">
        <f t="shared" ref="F13:F15" si="5">E13*D13</f>
        <v>2.5</v>
      </c>
      <c r="G13">
        <v>20</v>
      </c>
    </row>
    <row r="14" spans="1:12">
      <c r="A14" s="15">
        <v>7.4999999999999997E-2</v>
      </c>
      <c r="B14" s="32">
        <f t="shared" si="4"/>
        <v>3.7499999999999999E-2</v>
      </c>
      <c r="C14">
        <v>87.66</v>
      </c>
      <c r="D14">
        <v>100</v>
      </c>
      <c r="E14" s="15">
        <v>2.5000000000000001E-2</v>
      </c>
      <c r="F14">
        <f t="shared" si="5"/>
        <v>2.5</v>
      </c>
      <c r="G14">
        <v>12</v>
      </c>
      <c r="J14" s="32">
        <f>A19/2</f>
        <v>0.02</v>
      </c>
      <c r="K14" s="7">
        <v>95.5</v>
      </c>
      <c r="L14" t="s">
        <v>5</v>
      </c>
    </row>
    <row r="15" spans="1:12">
      <c r="A15" s="30">
        <v>0.13</v>
      </c>
      <c r="B15" s="32">
        <f t="shared" si="4"/>
        <v>6.5000000000000002E-2</v>
      </c>
      <c r="C15" s="7">
        <v>40.79</v>
      </c>
      <c r="D15">
        <v>100</v>
      </c>
      <c r="E15" s="15">
        <v>2.5000000000000001E-2</v>
      </c>
      <c r="F15">
        <f t="shared" si="5"/>
        <v>2.5</v>
      </c>
      <c r="G15">
        <v>52</v>
      </c>
      <c r="J15" s="32">
        <f t="shared" ref="J15:J17" si="6">A20/2</f>
        <v>0.03</v>
      </c>
      <c r="K15">
        <v>81.03</v>
      </c>
      <c r="L15" t="s">
        <v>5</v>
      </c>
    </row>
    <row r="16" spans="1:12">
      <c r="J16" s="32">
        <f t="shared" si="6"/>
        <v>5.7500000000000002E-2</v>
      </c>
      <c r="K16">
        <v>65.45</v>
      </c>
      <c r="L16" t="s">
        <v>5</v>
      </c>
    </row>
    <row r="17" spans="1:12">
      <c r="A17" t="s">
        <v>5</v>
      </c>
      <c r="J17" s="32">
        <f t="shared" si="6"/>
        <v>0.08</v>
      </c>
      <c r="K17" s="7">
        <v>23</v>
      </c>
      <c r="L17" t="s">
        <v>5</v>
      </c>
    </row>
    <row r="18" spans="1:12">
      <c r="A18" t="s">
        <v>45</v>
      </c>
      <c r="B18" t="s">
        <v>46</v>
      </c>
      <c r="C18" t="s">
        <v>13</v>
      </c>
      <c r="D18" t="s">
        <v>43</v>
      </c>
      <c r="E18" t="s">
        <v>42</v>
      </c>
      <c r="F18" t="s">
        <v>41</v>
      </c>
      <c r="G18" t="s">
        <v>44</v>
      </c>
    </row>
    <row r="19" spans="1:12">
      <c r="A19" s="30">
        <v>0.04</v>
      </c>
      <c r="B19" s="32">
        <f>A19/2</f>
        <v>0.02</v>
      </c>
      <c r="C19" s="7">
        <v>95.5</v>
      </c>
      <c r="D19">
        <v>100</v>
      </c>
      <c r="E19" s="15">
        <v>1.7250000000000001E-2</v>
      </c>
      <c r="F19">
        <f>E19*D19</f>
        <v>1.7250000000000001</v>
      </c>
      <c r="G19">
        <v>20</v>
      </c>
      <c r="J19" s="32">
        <f>A26/2</f>
        <v>3.7499999999999999E-2</v>
      </c>
      <c r="K19">
        <v>76.48</v>
      </c>
      <c r="L19" t="s">
        <v>6</v>
      </c>
    </row>
    <row r="20" spans="1:12">
      <c r="A20" s="30">
        <v>0.06</v>
      </c>
      <c r="B20" s="32">
        <f t="shared" ref="B20:B22" si="7">A20/2</f>
        <v>0.03</v>
      </c>
      <c r="C20">
        <v>81.03</v>
      </c>
      <c r="D20">
        <v>100</v>
      </c>
      <c r="E20" s="15">
        <v>1.7250000000000001E-2</v>
      </c>
      <c r="F20">
        <f t="shared" ref="F20:F22" si="8">E20*D20</f>
        <v>1.7250000000000001</v>
      </c>
      <c r="G20">
        <v>20</v>
      </c>
      <c r="J20" s="32">
        <f t="shared" ref="J20:J22" si="9">A27/2</f>
        <v>5.2499999999999998E-2</v>
      </c>
      <c r="K20">
        <v>61.12</v>
      </c>
      <c r="L20" t="s">
        <v>6</v>
      </c>
    </row>
    <row r="21" spans="1:12">
      <c r="A21" s="15">
        <v>0.115</v>
      </c>
      <c r="B21" s="32">
        <f t="shared" si="7"/>
        <v>5.7500000000000002E-2</v>
      </c>
      <c r="C21">
        <v>65.45</v>
      </c>
      <c r="D21">
        <v>100</v>
      </c>
      <c r="E21" s="15">
        <v>1.7250000000000001E-2</v>
      </c>
      <c r="F21">
        <f t="shared" si="8"/>
        <v>1.7250000000000001</v>
      </c>
      <c r="G21">
        <v>12</v>
      </c>
      <c r="J21" s="32">
        <f t="shared" si="9"/>
        <v>7.0000000000000007E-2</v>
      </c>
      <c r="K21">
        <v>61.08</v>
      </c>
      <c r="L21" t="s">
        <v>6</v>
      </c>
    </row>
    <row r="22" spans="1:12">
      <c r="A22" s="30">
        <v>0.16</v>
      </c>
      <c r="B22" s="32">
        <f t="shared" si="7"/>
        <v>0.08</v>
      </c>
      <c r="C22" s="7">
        <v>23</v>
      </c>
      <c r="D22">
        <v>100</v>
      </c>
      <c r="E22" s="15">
        <v>1.7250000000000001E-2</v>
      </c>
      <c r="F22">
        <f t="shared" si="8"/>
        <v>1.7250000000000001</v>
      </c>
      <c r="G22">
        <v>52</v>
      </c>
      <c r="J22" s="32">
        <f t="shared" si="9"/>
        <v>8.5000000000000006E-2</v>
      </c>
      <c r="K22">
        <v>25.79</v>
      </c>
      <c r="L22" t="s">
        <v>6</v>
      </c>
    </row>
    <row r="24" spans="1:12">
      <c r="A24" t="s">
        <v>6</v>
      </c>
    </row>
    <row r="25" spans="1:12">
      <c r="A25" t="s">
        <v>45</v>
      </c>
      <c r="B25" t="s">
        <v>46</v>
      </c>
      <c r="C25" t="s">
        <v>13</v>
      </c>
      <c r="D25" t="s">
        <v>43</v>
      </c>
      <c r="E25" t="s">
        <v>42</v>
      </c>
      <c r="F25" t="s">
        <v>41</v>
      </c>
      <c r="G25" t="s">
        <v>44</v>
      </c>
    </row>
    <row r="26" spans="1:12">
      <c r="A26" s="15">
        <v>7.4999999999999997E-2</v>
      </c>
      <c r="B26" s="32">
        <f t="shared" ref="B26:B29" si="10">A26/2</f>
        <v>3.7499999999999999E-2</v>
      </c>
      <c r="C26">
        <v>76.48</v>
      </c>
      <c r="D26">
        <v>100</v>
      </c>
      <c r="E26" s="15">
        <v>2.1000000000000001E-2</v>
      </c>
      <c r="F26">
        <f>E26*D26</f>
        <v>2.1</v>
      </c>
      <c r="G26">
        <v>20</v>
      </c>
    </row>
    <row r="27" spans="1:12">
      <c r="A27" s="15">
        <v>0.105</v>
      </c>
      <c r="B27" s="32">
        <f t="shared" si="10"/>
        <v>5.2499999999999998E-2</v>
      </c>
      <c r="C27">
        <v>61.12</v>
      </c>
      <c r="D27">
        <v>100</v>
      </c>
      <c r="E27" s="15">
        <v>2.1000000000000001E-2</v>
      </c>
      <c r="F27">
        <f t="shared" ref="F27:F29" si="11">E27*D27</f>
        <v>2.1</v>
      </c>
      <c r="G27">
        <v>20</v>
      </c>
    </row>
    <row r="28" spans="1:12">
      <c r="A28" s="30">
        <v>0.14000000000000001</v>
      </c>
      <c r="B28" s="32">
        <f t="shared" si="10"/>
        <v>7.0000000000000007E-2</v>
      </c>
      <c r="C28">
        <v>61.08</v>
      </c>
      <c r="D28">
        <v>100</v>
      </c>
      <c r="E28" s="15">
        <v>2.1000000000000001E-2</v>
      </c>
      <c r="F28">
        <f t="shared" si="11"/>
        <v>2.1</v>
      </c>
      <c r="G28">
        <v>12</v>
      </c>
    </row>
    <row r="29" spans="1:12">
      <c r="A29" s="30">
        <v>0.17</v>
      </c>
      <c r="B29" s="32">
        <f t="shared" si="10"/>
        <v>8.5000000000000006E-2</v>
      </c>
      <c r="C29">
        <v>25.79</v>
      </c>
      <c r="D29">
        <v>100</v>
      </c>
      <c r="E29" s="15">
        <v>2.1000000000000001E-2</v>
      </c>
      <c r="F29">
        <f t="shared" si="11"/>
        <v>2.1</v>
      </c>
      <c r="G29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DD8C-682D-4C15-8DD2-2B17B02208A8}">
  <dimension ref="A2:C6"/>
  <sheetViews>
    <sheetView zoomScale="87" workbookViewId="0">
      <selection activeCell="B5" sqref="B5"/>
    </sheetView>
  </sheetViews>
  <sheetFormatPr defaultRowHeight="14.4"/>
  <cols>
    <col min="3" max="3" width="16" bestFit="1" customWidth="1"/>
  </cols>
  <sheetData>
    <row r="2" spans="1:3">
      <c r="A2" t="s">
        <v>40</v>
      </c>
      <c r="B2" t="s">
        <v>8</v>
      </c>
      <c r="C2" t="s">
        <v>10</v>
      </c>
    </row>
    <row r="3" spans="1:3">
      <c r="A3" t="s">
        <v>3</v>
      </c>
      <c r="B3" s="33">
        <v>5.2949999999999999</v>
      </c>
      <c r="C3" s="7">
        <v>7.5665303601365599</v>
      </c>
    </row>
    <row r="4" spans="1:3">
      <c r="A4" t="s">
        <v>4</v>
      </c>
      <c r="B4" s="33">
        <v>4.9059999999999997</v>
      </c>
      <c r="C4" s="7">
        <v>7.8660989050084966</v>
      </c>
    </row>
    <row r="5" spans="1:3">
      <c r="A5" t="s">
        <v>5</v>
      </c>
      <c r="B5" s="33">
        <v>4.49</v>
      </c>
      <c r="C5" s="7">
        <v>5.6573500156505272</v>
      </c>
    </row>
    <row r="6" spans="1:3">
      <c r="A6" t="s">
        <v>6</v>
      </c>
      <c r="B6" s="33">
        <v>5.234</v>
      </c>
      <c r="C6" s="7">
        <v>18.325832366149811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D336-ADC1-4DD5-B0D0-DF0CEA48702B}">
  <dimension ref="A1:P23"/>
  <sheetViews>
    <sheetView workbookViewId="0"/>
  </sheetViews>
  <sheetFormatPr defaultRowHeight="14.4"/>
  <cols>
    <col min="1" max="1" width="7.88671875" bestFit="1" customWidth="1"/>
    <col min="2" max="2" width="9.77734375" bestFit="1" customWidth="1"/>
    <col min="3" max="3" width="10" bestFit="1" customWidth="1"/>
  </cols>
  <sheetData>
    <row r="1" spans="1:16">
      <c r="A1" t="s">
        <v>49</v>
      </c>
    </row>
    <row r="3" spans="1:16">
      <c r="A3" t="s">
        <v>50</v>
      </c>
      <c r="B3" t="s">
        <v>51</v>
      </c>
      <c r="C3" t="s">
        <v>52</v>
      </c>
      <c r="D3" t="s">
        <v>53</v>
      </c>
      <c r="F3" t="s">
        <v>54</v>
      </c>
    </row>
    <row r="4" spans="1:16">
      <c r="A4">
        <v>1</v>
      </c>
      <c r="B4">
        <v>141.27000000000001</v>
      </c>
      <c r="C4" s="15">
        <v>-4.2599999999999999E-2</v>
      </c>
      <c r="D4">
        <v>132.99</v>
      </c>
      <c r="F4" s="34" t="s">
        <v>55</v>
      </c>
    </row>
    <row r="5" spans="1:16">
      <c r="A5">
        <v>2</v>
      </c>
      <c r="B5">
        <v>128.38999999999999</v>
      </c>
      <c r="C5" s="15">
        <v>-3.2599999999999997E-2</v>
      </c>
      <c r="D5">
        <v>125.42</v>
      </c>
      <c r="F5" t="s">
        <v>56</v>
      </c>
    </row>
    <row r="6" spans="1:16">
      <c r="A6">
        <v>3</v>
      </c>
      <c r="B6">
        <v>117.17</v>
      </c>
      <c r="C6" s="15">
        <v>-2.2599999999999999E-2</v>
      </c>
      <c r="D6">
        <v>117.85</v>
      </c>
      <c r="F6" s="34" t="s">
        <v>57</v>
      </c>
      <c r="P6" t="s">
        <v>52</v>
      </c>
    </row>
    <row r="7" spans="1:16">
      <c r="A7">
        <v>4</v>
      </c>
      <c r="B7">
        <v>107.38</v>
      </c>
      <c r="C7" s="15">
        <v>-1.26E-2</v>
      </c>
      <c r="D7">
        <v>110.28</v>
      </c>
      <c r="F7" t="s">
        <v>58</v>
      </c>
    </row>
    <row r="8" spans="1:16">
      <c r="A8">
        <v>5</v>
      </c>
      <c r="B8">
        <v>98.81</v>
      </c>
      <c r="C8" s="15">
        <v>-2.5999999999999999E-3</v>
      </c>
      <c r="D8">
        <v>102.71</v>
      </c>
    </row>
    <row r="9" spans="1:16">
      <c r="A9">
        <v>6</v>
      </c>
      <c r="B9">
        <v>91.32</v>
      </c>
      <c r="C9" s="15">
        <v>7.4000000000000003E-3</v>
      </c>
      <c r="D9">
        <v>95.14</v>
      </c>
    </row>
    <row r="10" spans="1:16">
      <c r="A10">
        <v>7</v>
      </c>
      <c r="B10">
        <v>84.77</v>
      </c>
      <c r="C10" s="15">
        <v>1.7399999999999999E-2</v>
      </c>
      <c r="D10">
        <v>87.57</v>
      </c>
    </row>
    <row r="11" spans="1:16">
      <c r="A11">
        <v>8</v>
      </c>
      <c r="B11">
        <v>78.989999999999995</v>
      </c>
      <c r="C11" s="15">
        <v>2.7400000000000001E-2</v>
      </c>
      <c r="D11">
        <v>80</v>
      </c>
    </row>
    <row r="12" spans="1:16">
      <c r="A12">
        <v>9</v>
      </c>
      <c r="B12">
        <v>73.88</v>
      </c>
      <c r="C12" s="15">
        <v>3.7400000000000003E-2</v>
      </c>
      <c r="D12">
        <v>72.430000000000007</v>
      </c>
    </row>
    <row r="13" spans="1:16">
      <c r="A13">
        <v>10</v>
      </c>
      <c r="B13">
        <v>69.349999999999994</v>
      </c>
      <c r="C13" s="15">
        <v>4.7399999999999998E-2</v>
      </c>
      <c r="D13">
        <v>64.86</v>
      </c>
    </row>
    <row r="14" spans="1:16">
      <c r="A14">
        <v>11</v>
      </c>
      <c r="B14">
        <v>65.31</v>
      </c>
      <c r="C14" s="15">
        <v>5.74E-2</v>
      </c>
      <c r="D14">
        <v>57.29</v>
      </c>
    </row>
    <row r="15" spans="1:16">
      <c r="A15">
        <v>12</v>
      </c>
      <c r="B15">
        <v>61.7</v>
      </c>
      <c r="C15" s="15">
        <v>6.7400000000000002E-2</v>
      </c>
      <c r="D15">
        <v>49.72</v>
      </c>
    </row>
    <row r="16" spans="1:16">
      <c r="A16">
        <v>13</v>
      </c>
      <c r="B16">
        <v>58.45</v>
      </c>
      <c r="C16" s="15">
        <v>7.7399999999999997E-2</v>
      </c>
      <c r="D16">
        <v>42.15</v>
      </c>
    </row>
    <row r="17" spans="1:4">
      <c r="A17">
        <v>14</v>
      </c>
      <c r="B17">
        <v>55.51</v>
      </c>
      <c r="C17" s="15">
        <v>8.7400000000000005E-2</v>
      </c>
      <c r="D17">
        <v>34.58</v>
      </c>
    </row>
    <row r="18" spans="1:4">
      <c r="A18">
        <v>15</v>
      </c>
      <c r="B18">
        <v>52.84</v>
      </c>
      <c r="C18" s="15">
        <v>9.74E-2</v>
      </c>
      <c r="D18">
        <v>27.01</v>
      </c>
    </row>
    <row r="19" spans="1:4">
      <c r="A19">
        <v>16</v>
      </c>
      <c r="B19">
        <v>50.41</v>
      </c>
      <c r="C19" s="15">
        <v>0.1074</v>
      </c>
      <c r="D19">
        <v>19.440000000000001</v>
      </c>
    </row>
    <row r="20" spans="1:4">
      <c r="A20">
        <v>17</v>
      </c>
      <c r="B20">
        <v>48.19</v>
      </c>
      <c r="C20" s="15">
        <v>0.1174</v>
      </c>
      <c r="D20">
        <v>11.87</v>
      </c>
    </row>
    <row r="21" spans="1:4">
      <c r="A21">
        <v>18</v>
      </c>
      <c r="B21">
        <v>46.15</v>
      </c>
      <c r="C21" s="15">
        <v>0.12740000000000001</v>
      </c>
      <c r="D21">
        <v>4.3</v>
      </c>
    </row>
    <row r="22" spans="1:4">
      <c r="A22">
        <v>19</v>
      </c>
      <c r="B22">
        <v>44.27</v>
      </c>
      <c r="C22" s="15">
        <v>0.13739999999999999</v>
      </c>
      <c r="D22">
        <v>-3.27</v>
      </c>
    </row>
    <row r="23" spans="1:4">
      <c r="A23">
        <v>20</v>
      </c>
      <c r="B23">
        <v>42.54</v>
      </c>
      <c r="C23" s="15">
        <v>0.1474</v>
      </c>
      <c r="D23">
        <v>-10.84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1B75-4A07-42E6-8ED6-1BCD5A2743F0}">
  <dimension ref="A1:D23"/>
  <sheetViews>
    <sheetView workbookViewId="0"/>
  </sheetViews>
  <sheetFormatPr defaultRowHeight="14.4"/>
  <sheetData>
    <row r="1" spans="1:4">
      <c r="A1" t="s">
        <v>59</v>
      </c>
    </row>
    <row r="3" spans="1:4">
      <c r="A3" t="s">
        <v>50</v>
      </c>
      <c r="B3" t="s">
        <v>51</v>
      </c>
      <c r="C3" t="s">
        <v>52</v>
      </c>
      <c r="D3" t="s">
        <v>53</v>
      </c>
    </row>
    <row r="4" spans="1:4">
      <c r="A4">
        <v>1</v>
      </c>
      <c r="B4">
        <v>143.08000000000001</v>
      </c>
      <c r="C4" s="15">
        <v>-3.9E-2</v>
      </c>
      <c r="D4">
        <v>131.83000000000001</v>
      </c>
    </row>
    <row r="5" spans="1:4">
      <c r="A5">
        <v>2</v>
      </c>
      <c r="B5">
        <v>129.83000000000001</v>
      </c>
      <c r="C5" s="15">
        <v>-2.9000000000000001E-2</v>
      </c>
      <c r="D5">
        <v>124.03</v>
      </c>
    </row>
    <row r="6" spans="1:4">
      <c r="A6">
        <v>3</v>
      </c>
      <c r="B6">
        <v>118.16</v>
      </c>
      <c r="C6" s="15">
        <v>-1.9E-2</v>
      </c>
      <c r="D6">
        <v>116.23</v>
      </c>
    </row>
    <row r="7" spans="1:4">
      <c r="A7">
        <v>4</v>
      </c>
      <c r="B7">
        <v>107.84</v>
      </c>
      <c r="C7" s="15">
        <v>-8.9999999999999993E-3</v>
      </c>
      <c r="D7">
        <v>108.43</v>
      </c>
    </row>
    <row r="8" spans="1:4">
      <c r="A8">
        <v>5</v>
      </c>
      <c r="B8">
        <v>98.71</v>
      </c>
      <c r="C8" s="15">
        <v>1E-3</v>
      </c>
      <c r="D8">
        <v>100.63</v>
      </c>
    </row>
    <row r="9" spans="1:4">
      <c r="A9">
        <v>6</v>
      </c>
      <c r="B9">
        <v>90.63</v>
      </c>
      <c r="C9" s="15">
        <v>1.0999999999999999E-2</v>
      </c>
      <c r="D9">
        <v>92.83</v>
      </c>
    </row>
    <row r="10" spans="1:4">
      <c r="A10">
        <v>7</v>
      </c>
      <c r="B10">
        <v>83.46</v>
      </c>
      <c r="C10" s="15">
        <v>2.1000000000000001E-2</v>
      </c>
      <c r="D10">
        <v>85.03</v>
      </c>
    </row>
    <row r="11" spans="1:4">
      <c r="A11">
        <v>8</v>
      </c>
      <c r="B11">
        <v>77.069999999999993</v>
      </c>
      <c r="C11" s="15">
        <v>3.1E-2</v>
      </c>
      <c r="D11">
        <v>77.23</v>
      </c>
    </row>
    <row r="12" spans="1:4">
      <c r="A12">
        <v>9</v>
      </c>
      <c r="B12">
        <v>71.34</v>
      </c>
      <c r="C12" s="15">
        <v>4.1000000000000002E-2</v>
      </c>
      <c r="D12">
        <v>69.430000000000007</v>
      </c>
    </row>
    <row r="13" spans="1:4">
      <c r="A13">
        <v>10</v>
      </c>
      <c r="B13">
        <v>66.180000000000007</v>
      </c>
      <c r="C13" s="15">
        <v>5.0999999999999997E-2</v>
      </c>
      <c r="D13">
        <v>61.63</v>
      </c>
    </row>
    <row r="14" spans="1:4">
      <c r="A14">
        <v>11</v>
      </c>
      <c r="B14">
        <v>61.51</v>
      </c>
      <c r="C14" s="15">
        <v>6.0999999999999999E-2</v>
      </c>
      <c r="D14">
        <v>53.83</v>
      </c>
    </row>
    <row r="15" spans="1:4">
      <c r="A15">
        <v>12</v>
      </c>
      <c r="B15">
        <v>57.27</v>
      </c>
      <c r="C15" s="15">
        <v>7.0999999999999994E-2</v>
      </c>
      <c r="D15">
        <v>46.03</v>
      </c>
    </row>
    <row r="16" spans="1:4">
      <c r="A16">
        <v>13</v>
      </c>
      <c r="B16">
        <v>53.4</v>
      </c>
      <c r="C16" s="15">
        <v>8.1000000000000003E-2</v>
      </c>
      <c r="D16">
        <v>38.229999999999997</v>
      </c>
    </row>
    <row r="17" spans="1:4">
      <c r="A17">
        <v>14</v>
      </c>
      <c r="B17">
        <v>49.85</v>
      </c>
      <c r="C17" s="15">
        <v>9.0999999999999998E-2</v>
      </c>
      <c r="D17">
        <v>30.43</v>
      </c>
    </row>
    <row r="18" spans="1:4">
      <c r="A18">
        <v>15</v>
      </c>
      <c r="B18">
        <v>46.58</v>
      </c>
      <c r="C18" s="15">
        <v>0.10100000000000001</v>
      </c>
      <c r="D18">
        <v>22.63</v>
      </c>
    </row>
    <row r="19" spans="1:4">
      <c r="A19">
        <v>16</v>
      </c>
      <c r="B19">
        <v>43.57</v>
      </c>
      <c r="C19" s="15">
        <v>0.111</v>
      </c>
      <c r="D19">
        <v>14.83</v>
      </c>
    </row>
    <row r="20" spans="1:4">
      <c r="A20">
        <v>17</v>
      </c>
      <c r="B20">
        <v>40.78</v>
      </c>
      <c r="C20" s="15">
        <v>0.121</v>
      </c>
      <c r="D20">
        <v>7.03</v>
      </c>
    </row>
    <row r="21" spans="1:4">
      <c r="A21">
        <v>18</v>
      </c>
      <c r="B21">
        <v>38.200000000000003</v>
      </c>
      <c r="C21" s="15">
        <v>0.13100000000000001</v>
      </c>
      <c r="D21">
        <v>-0.77</v>
      </c>
    </row>
    <row r="22" spans="1:4">
      <c r="A22">
        <v>19</v>
      </c>
      <c r="B22">
        <v>35.81</v>
      </c>
      <c r="C22" s="15">
        <v>0.14099999999999999</v>
      </c>
      <c r="D22">
        <v>-8.57</v>
      </c>
    </row>
    <row r="23" spans="1:4">
      <c r="A23">
        <v>20</v>
      </c>
      <c r="B23">
        <v>33.590000000000003</v>
      </c>
      <c r="C23" s="15">
        <v>0.151</v>
      </c>
      <c r="D23">
        <v>-16.37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E568-13D2-41C4-928B-407BC7EF2B4D}">
  <dimension ref="A1:D23"/>
  <sheetViews>
    <sheetView workbookViewId="0"/>
  </sheetViews>
  <sheetFormatPr defaultRowHeight="14.4"/>
  <sheetData>
    <row r="1" spans="1:4">
      <c r="A1" t="s">
        <v>60</v>
      </c>
    </row>
    <row r="3" spans="1:4">
      <c r="A3" t="s">
        <v>50</v>
      </c>
      <c r="B3" t="s">
        <v>51</v>
      </c>
      <c r="C3" t="s">
        <v>52</v>
      </c>
      <c r="D3" t="s">
        <v>53</v>
      </c>
    </row>
    <row r="4" spans="1:4">
      <c r="A4">
        <v>1</v>
      </c>
      <c r="B4">
        <v>128.61000000000001</v>
      </c>
      <c r="C4" s="15">
        <v>-3.49E-2</v>
      </c>
      <c r="D4">
        <v>114.98</v>
      </c>
    </row>
    <row r="5" spans="1:4">
      <c r="A5">
        <v>2</v>
      </c>
      <c r="B5">
        <v>118.45</v>
      </c>
      <c r="C5" s="15">
        <v>-2.4899999999999999E-2</v>
      </c>
      <c r="D5">
        <v>109.32</v>
      </c>
    </row>
    <row r="6" spans="1:4">
      <c r="A6">
        <v>3</v>
      </c>
      <c r="B6">
        <v>109.28</v>
      </c>
      <c r="C6" s="15">
        <v>-1.49E-2</v>
      </c>
      <c r="D6">
        <v>103.66</v>
      </c>
    </row>
    <row r="7" spans="1:4">
      <c r="A7">
        <v>4</v>
      </c>
      <c r="B7">
        <v>101</v>
      </c>
      <c r="C7" s="15">
        <v>-4.8999999999999998E-3</v>
      </c>
      <c r="D7">
        <v>98</v>
      </c>
    </row>
    <row r="8" spans="1:4">
      <c r="A8">
        <v>5</v>
      </c>
      <c r="B8">
        <v>93.51</v>
      </c>
      <c r="C8" s="15">
        <v>5.1000000000000004E-3</v>
      </c>
      <c r="D8">
        <v>92.34</v>
      </c>
    </row>
    <row r="9" spans="1:4">
      <c r="A9">
        <v>6</v>
      </c>
      <c r="B9">
        <v>86.72</v>
      </c>
      <c r="C9" s="15">
        <v>1.5100000000000001E-2</v>
      </c>
      <c r="D9">
        <v>86.68</v>
      </c>
    </row>
    <row r="10" spans="1:4">
      <c r="A10">
        <v>7</v>
      </c>
      <c r="B10">
        <v>80.55</v>
      </c>
      <c r="C10" s="15">
        <v>2.5100000000000001E-2</v>
      </c>
      <c r="D10">
        <v>81.02</v>
      </c>
    </row>
    <row r="11" spans="1:4">
      <c r="A11">
        <v>8</v>
      </c>
      <c r="B11">
        <v>74.92</v>
      </c>
      <c r="C11" s="15">
        <v>3.5099999999999999E-2</v>
      </c>
      <c r="D11">
        <v>75.36</v>
      </c>
    </row>
    <row r="12" spans="1:4">
      <c r="A12">
        <v>9</v>
      </c>
      <c r="B12">
        <v>69.760000000000005</v>
      </c>
      <c r="C12" s="15">
        <v>4.5100000000000001E-2</v>
      </c>
      <c r="D12">
        <v>69.7</v>
      </c>
    </row>
    <row r="13" spans="1:4">
      <c r="A13">
        <v>10</v>
      </c>
      <c r="B13">
        <v>65</v>
      </c>
      <c r="C13" s="15">
        <v>5.5100000000000003E-2</v>
      </c>
      <c r="D13">
        <v>64.040000000000006</v>
      </c>
    </row>
    <row r="14" spans="1:4">
      <c r="A14">
        <v>11</v>
      </c>
      <c r="B14">
        <v>60.6</v>
      </c>
      <c r="C14" s="15">
        <v>6.5100000000000005E-2</v>
      </c>
      <c r="D14">
        <v>58.38</v>
      </c>
    </row>
    <row r="15" spans="1:4">
      <c r="A15">
        <v>12</v>
      </c>
      <c r="B15">
        <v>56.51</v>
      </c>
      <c r="C15" s="15">
        <v>7.51E-2</v>
      </c>
      <c r="D15">
        <v>52.72</v>
      </c>
    </row>
    <row r="16" spans="1:4">
      <c r="A16">
        <v>13</v>
      </c>
      <c r="B16">
        <v>52.7</v>
      </c>
      <c r="C16" s="15">
        <v>8.5099999999999995E-2</v>
      </c>
      <c r="D16">
        <v>47.06</v>
      </c>
    </row>
    <row r="17" spans="1:4">
      <c r="A17">
        <v>14</v>
      </c>
      <c r="B17">
        <v>49.15</v>
      </c>
      <c r="C17" s="15">
        <v>9.5100000000000004E-2</v>
      </c>
      <c r="D17">
        <v>41.4</v>
      </c>
    </row>
    <row r="18" spans="1:4">
      <c r="A18">
        <v>15</v>
      </c>
      <c r="B18">
        <v>45.83</v>
      </c>
      <c r="C18" s="15">
        <v>0.1051</v>
      </c>
      <c r="D18">
        <v>35.74</v>
      </c>
    </row>
    <row r="19" spans="1:4">
      <c r="A19">
        <v>16</v>
      </c>
      <c r="B19">
        <v>42.73</v>
      </c>
      <c r="C19" s="15">
        <v>0.11509999999999999</v>
      </c>
      <c r="D19">
        <v>30.08</v>
      </c>
    </row>
    <row r="20" spans="1:4">
      <c r="A20">
        <v>17</v>
      </c>
      <c r="B20">
        <v>39.82</v>
      </c>
      <c r="C20" s="15">
        <v>0.12509999999999999</v>
      </c>
      <c r="D20">
        <v>24.42</v>
      </c>
    </row>
    <row r="21" spans="1:4">
      <c r="A21">
        <v>18</v>
      </c>
      <c r="B21">
        <v>37.1</v>
      </c>
      <c r="C21" s="15">
        <v>0.1351</v>
      </c>
      <c r="D21">
        <v>18.760000000000002</v>
      </c>
    </row>
    <row r="22" spans="1:4">
      <c r="A22">
        <v>19</v>
      </c>
      <c r="B22">
        <v>34.549999999999997</v>
      </c>
      <c r="C22" s="15">
        <v>0.14510000000000001</v>
      </c>
      <c r="D22">
        <v>13.1</v>
      </c>
    </row>
    <row r="23" spans="1:4">
      <c r="A23">
        <v>20</v>
      </c>
      <c r="B23">
        <v>32.159999999999997</v>
      </c>
      <c r="C23" s="15">
        <v>0.15509999999999999</v>
      </c>
      <c r="D23">
        <v>7.44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696A-DEEA-4797-9C91-F50CF2C1B8B7}">
  <dimension ref="A1:D33"/>
  <sheetViews>
    <sheetView workbookViewId="0"/>
  </sheetViews>
  <sheetFormatPr defaultRowHeight="14.4"/>
  <cols>
    <col min="2" max="2" width="9.77734375" bestFit="1" customWidth="1"/>
    <col min="3" max="3" width="7.6640625" bestFit="1" customWidth="1"/>
    <col min="4" max="4" width="10" bestFit="1" customWidth="1"/>
  </cols>
  <sheetData>
    <row r="1" spans="1:4">
      <c r="A1" t="s">
        <v>61</v>
      </c>
    </row>
    <row r="3" spans="1:4">
      <c r="A3" t="s">
        <v>50</v>
      </c>
      <c r="B3" t="s">
        <v>51</v>
      </c>
      <c r="C3" t="s">
        <v>52</v>
      </c>
      <c r="D3" t="s">
        <v>53</v>
      </c>
    </row>
    <row r="4" spans="1:4">
      <c r="A4">
        <v>1</v>
      </c>
      <c r="B4">
        <v>282.95999999999998</v>
      </c>
      <c r="C4" s="15">
        <v>-4.5900000000000003E-2</v>
      </c>
      <c r="D4">
        <v>161.16</v>
      </c>
    </row>
    <row r="5" spans="1:4">
      <c r="A5">
        <v>2</v>
      </c>
      <c r="B5">
        <v>239.91</v>
      </c>
      <c r="C5" s="15">
        <v>-3.5900000000000001E-2</v>
      </c>
      <c r="D5">
        <v>142.83000000000001</v>
      </c>
    </row>
    <row r="6" spans="1:4">
      <c r="A6">
        <v>3</v>
      </c>
      <c r="B6">
        <v>204.36</v>
      </c>
      <c r="C6" s="15">
        <v>-2.5899999999999999E-2</v>
      </c>
      <c r="D6">
        <v>124.5</v>
      </c>
    </row>
    <row r="7" spans="1:4">
      <c r="A7">
        <v>4</v>
      </c>
      <c r="B7">
        <v>174.96</v>
      </c>
      <c r="C7" s="15">
        <v>-1.5900000000000001E-2</v>
      </c>
      <c r="D7">
        <v>106.17</v>
      </c>
    </row>
    <row r="8" spans="1:4">
      <c r="A8">
        <v>5</v>
      </c>
      <c r="B8">
        <v>150.52000000000001</v>
      </c>
      <c r="C8" s="15">
        <v>-5.8999999999999999E-3</v>
      </c>
      <c r="D8">
        <v>87.84</v>
      </c>
    </row>
    <row r="9" spans="1:4">
      <c r="A9">
        <v>6</v>
      </c>
      <c r="B9">
        <v>129.99</v>
      </c>
      <c r="C9" s="15">
        <v>4.1000000000000003E-3</v>
      </c>
      <c r="D9">
        <v>69.510000000000005</v>
      </c>
    </row>
    <row r="10" spans="1:4">
      <c r="A10">
        <v>7</v>
      </c>
      <c r="B10">
        <v>112.55</v>
      </c>
      <c r="C10" s="15">
        <v>1.41E-2</v>
      </c>
      <c r="D10">
        <v>51.18</v>
      </c>
    </row>
    <row r="11" spans="1:4">
      <c r="A11">
        <v>8</v>
      </c>
      <c r="B11">
        <v>97.63</v>
      </c>
      <c r="C11" s="15">
        <v>2.41E-2</v>
      </c>
      <c r="D11">
        <v>32.85</v>
      </c>
    </row>
    <row r="12" spans="1:4">
      <c r="A12">
        <v>9</v>
      </c>
      <c r="B12">
        <v>84.79</v>
      </c>
      <c r="C12" s="15">
        <v>3.4099999999999998E-2</v>
      </c>
      <c r="D12">
        <v>14.52</v>
      </c>
    </row>
    <row r="13" spans="1:4">
      <c r="A13">
        <v>10</v>
      </c>
      <c r="B13">
        <v>73.680000000000007</v>
      </c>
      <c r="C13" s="15">
        <v>4.41E-2</v>
      </c>
      <c r="D13">
        <v>-3.81</v>
      </c>
    </row>
    <row r="14" spans="1:4">
      <c r="A14">
        <v>11</v>
      </c>
      <c r="B14">
        <v>64.03</v>
      </c>
      <c r="C14" s="15">
        <v>5.4100000000000002E-2</v>
      </c>
      <c r="D14">
        <v>-22.14</v>
      </c>
    </row>
    <row r="15" spans="1:4">
      <c r="A15">
        <v>12</v>
      </c>
      <c r="B15">
        <v>55.62</v>
      </c>
      <c r="C15" s="15">
        <v>6.4100000000000004E-2</v>
      </c>
      <c r="D15">
        <v>-40.47</v>
      </c>
    </row>
    <row r="16" spans="1:4">
      <c r="A16">
        <v>13</v>
      </c>
      <c r="B16">
        <v>48.27</v>
      </c>
      <c r="C16" s="15">
        <v>7.4099999999999999E-2</v>
      </c>
      <c r="D16">
        <v>-58.8</v>
      </c>
    </row>
    <row r="17" spans="1:4">
      <c r="A17">
        <v>14</v>
      </c>
      <c r="B17">
        <v>41.83</v>
      </c>
      <c r="C17" s="15">
        <v>8.4099999999999994E-2</v>
      </c>
      <c r="D17">
        <v>-77.13</v>
      </c>
    </row>
    <row r="18" spans="1:4">
      <c r="A18">
        <v>15</v>
      </c>
      <c r="B18">
        <v>36.18</v>
      </c>
      <c r="C18" s="15">
        <v>9.4100000000000003E-2</v>
      </c>
      <c r="D18">
        <v>-95.46</v>
      </c>
    </row>
    <row r="19" spans="1:4">
      <c r="A19">
        <v>16</v>
      </c>
      <c r="B19">
        <v>31.22</v>
      </c>
      <c r="C19" s="15">
        <v>0.1041</v>
      </c>
      <c r="D19">
        <v>-113.79</v>
      </c>
    </row>
    <row r="20" spans="1:4">
      <c r="A20">
        <v>17</v>
      </c>
      <c r="B20">
        <v>26.87</v>
      </c>
      <c r="C20" s="15">
        <v>0.11409999999999999</v>
      </c>
      <c r="D20">
        <v>-132.12</v>
      </c>
    </row>
    <row r="21" spans="1:4">
      <c r="A21">
        <v>18</v>
      </c>
      <c r="B21">
        <v>23.05</v>
      </c>
      <c r="C21" s="15">
        <v>0.1241</v>
      </c>
      <c r="D21">
        <v>-150.44999999999999</v>
      </c>
    </row>
    <row r="22" spans="1:4">
      <c r="A22">
        <v>19</v>
      </c>
      <c r="B22">
        <v>19.7</v>
      </c>
      <c r="C22" s="15">
        <v>0.1341</v>
      </c>
      <c r="D22">
        <v>-168.78</v>
      </c>
    </row>
    <row r="23" spans="1:4">
      <c r="A23">
        <v>20</v>
      </c>
      <c r="B23">
        <v>16.760000000000002</v>
      </c>
      <c r="C23" s="15">
        <v>0.14410000000000001</v>
      </c>
      <c r="D23">
        <v>-187.11</v>
      </c>
    </row>
    <row r="24" spans="1:4">
      <c r="A24">
        <v>21</v>
      </c>
      <c r="B24">
        <v>14.19</v>
      </c>
      <c r="C24" s="15">
        <v>0.15409999999999999</v>
      </c>
      <c r="D24">
        <v>-205.44</v>
      </c>
    </row>
    <row r="25" spans="1:4">
      <c r="A25">
        <v>22</v>
      </c>
      <c r="B25">
        <v>11.94</v>
      </c>
      <c r="C25" s="15">
        <v>0.1641</v>
      </c>
      <c r="D25">
        <v>-223.77</v>
      </c>
    </row>
    <row r="26" spans="1:4">
      <c r="A26">
        <v>23</v>
      </c>
      <c r="B26">
        <v>10</v>
      </c>
      <c r="C26" s="15">
        <v>0.1741</v>
      </c>
      <c r="D26">
        <v>-242.1</v>
      </c>
    </row>
    <row r="27" spans="1:4">
      <c r="A27">
        <v>24</v>
      </c>
      <c r="B27">
        <v>8.31</v>
      </c>
      <c r="C27" s="15">
        <v>0.18410000000000001</v>
      </c>
      <c r="D27">
        <v>-260.43</v>
      </c>
    </row>
    <row r="28" spans="1:4">
      <c r="A28">
        <v>25</v>
      </c>
      <c r="B28">
        <v>6.85</v>
      </c>
      <c r="C28" s="15">
        <v>0.19409999999999999</v>
      </c>
      <c r="D28">
        <v>-278.76</v>
      </c>
    </row>
    <row r="29" spans="1:4">
      <c r="A29">
        <v>26</v>
      </c>
      <c r="B29">
        <v>5.59</v>
      </c>
      <c r="C29" s="15">
        <v>0.2041</v>
      </c>
      <c r="D29">
        <v>-297.08999999999997</v>
      </c>
    </row>
    <row r="30" spans="1:4">
      <c r="A30">
        <v>27</v>
      </c>
      <c r="B30">
        <v>4.51</v>
      </c>
      <c r="C30" s="15">
        <v>0.21410000000000001</v>
      </c>
      <c r="D30">
        <v>-315.42</v>
      </c>
    </row>
    <row r="31" spans="1:4">
      <c r="A31">
        <v>28</v>
      </c>
      <c r="B31">
        <v>3.58</v>
      </c>
      <c r="C31" s="15">
        <v>0.22409999999999999</v>
      </c>
      <c r="D31">
        <v>-333.75</v>
      </c>
    </row>
    <row r="32" spans="1:4">
      <c r="A32">
        <v>29</v>
      </c>
      <c r="B32">
        <v>2.79</v>
      </c>
      <c r="C32" s="15">
        <v>0.2341</v>
      </c>
      <c r="D32">
        <v>-352.08</v>
      </c>
    </row>
    <row r="33" spans="1:4">
      <c r="A33">
        <v>30</v>
      </c>
      <c r="B33">
        <v>2.13</v>
      </c>
      <c r="C33" s="15">
        <v>0.24410000000000001</v>
      </c>
      <c r="D33">
        <v>-370.41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YTM</vt:lpstr>
      <vt:lpstr>Bond A&amp;B</vt:lpstr>
      <vt:lpstr>Bond C &amp; D</vt:lpstr>
      <vt:lpstr>Sensitivity analysis</vt:lpstr>
      <vt:lpstr>YTM &amp; Duration</vt:lpstr>
      <vt:lpstr>Tangency of Bond A</vt:lpstr>
      <vt:lpstr>Tangency of Bond B</vt:lpstr>
      <vt:lpstr>Tangency of Bond C</vt:lpstr>
      <vt:lpstr>Tangency of Bond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 M</dc:creator>
  <cp:lastModifiedBy>Niket Shah</cp:lastModifiedBy>
  <dcterms:created xsi:type="dcterms:W3CDTF">2024-11-24T22:45:59Z</dcterms:created>
  <dcterms:modified xsi:type="dcterms:W3CDTF">2024-12-02T18:39:53Z</dcterms:modified>
</cp:coreProperties>
</file>